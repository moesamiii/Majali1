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Desktop/"/>
    </mc:Choice>
  </mc:AlternateContent>
  <xr:revisionPtr revIDLastSave="0" documentId="8_{C4C92AB1-22C4-9349-8902-BCAA5E0A467B}" xr6:coauthVersionLast="47" xr6:coauthVersionMax="47" xr10:uidLastSave="{00000000-0000-0000-0000-000000000000}"/>
  <bookViews>
    <workbookView xWindow="0" yWindow="720" windowWidth="29400" windowHeight="18400" xr2:uid="{44952B7B-7E1A-F74E-AF1A-491C77E7ED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1" i="1" l="1" a="1"/>
  <c r="L111" i="1" s="1"/>
  <c r="J111" i="1"/>
  <c r="L110" i="1" a="1"/>
  <c r="L110" i="1" s="1"/>
  <c r="J110" i="1"/>
  <c r="L109" i="1" a="1"/>
  <c r="L109" i="1" s="1"/>
  <c r="J109" i="1"/>
  <c r="L108" i="1" a="1"/>
  <c r="L108" i="1" s="1"/>
  <c r="J108" i="1"/>
  <c r="L107" i="1" a="1"/>
  <c r="L107" i="1" s="1"/>
  <c r="J107" i="1"/>
  <c r="L106" i="1" a="1"/>
  <c r="L106" i="1" s="1"/>
  <c r="J106" i="1"/>
  <c r="L105" i="1"/>
  <c r="L105" i="1" a="1"/>
  <c r="J105" i="1"/>
  <c r="L104" i="1"/>
  <c r="L104" i="1" a="1"/>
  <c r="J104" i="1"/>
  <c r="L103" i="1"/>
  <c r="L103" i="1" a="1"/>
  <c r="J103" i="1"/>
  <c r="L102" i="1"/>
  <c r="L102" i="1" a="1"/>
  <c r="J102" i="1"/>
  <c r="L101" i="1" a="1"/>
  <c r="L101" i="1" s="1"/>
  <c r="J101" i="1"/>
  <c r="L100" i="1" a="1"/>
  <c r="L100" i="1" s="1"/>
  <c r="J100" i="1"/>
  <c r="L99" i="1" a="1"/>
  <c r="L99" i="1" s="1"/>
  <c r="J99" i="1"/>
  <c r="L98" i="1" a="1"/>
  <c r="L98" i="1" s="1"/>
  <c r="J98" i="1"/>
  <c r="L97" i="1"/>
  <c r="L97" i="1" a="1"/>
  <c r="J97" i="1"/>
  <c r="L96" i="1"/>
  <c r="L96" i="1" a="1"/>
  <c r="J96" i="1"/>
  <c r="L95" i="1"/>
  <c r="L95" i="1" a="1"/>
  <c r="J95" i="1"/>
  <c r="L94" i="1"/>
  <c r="L94" i="1" a="1"/>
  <c r="J94" i="1"/>
  <c r="L93" i="1" a="1"/>
  <c r="L93" i="1" s="1"/>
  <c r="J93" i="1"/>
  <c r="L92" i="1" a="1"/>
  <c r="L92" i="1" s="1"/>
  <c r="J92" i="1"/>
  <c r="L91" i="1" a="1"/>
  <c r="L91" i="1" s="1"/>
  <c r="J91" i="1"/>
  <c r="L90" i="1" a="1"/>
  <c r="L90" i="1" s="1"/>
  <c r="J90" i="1"/>
  <c r="L89" i="1"/>
  <c r="L89" i="1" a="1"/>
  <c r="J89" i="1"/>
  <c r="L88" i="1"/>
  <c r="L88" i="1" a="1"/>
  <c r="J88" i="1"/>
  <c r="L87" i="1" a="1"/>
  <c r="L87" i="1" s="1"/>
  <c r="J87" i="1"/>
  <c r="L86" i="1"/>
  <c r="L86" i="1" a="1"/>
  <c r="J86" i="1"/>
  <c r="L85" i="1" a="1"/>
  <c r="L85" i="1" s="1"/>
  <c r="J85" i="1"/>
  <c r="L84" i="1" a="1"/>
  <c r="L84" i="1" s="1"/>
  <c r="J84" i="1"/>
  <c r="L83" i="1" a="1"/>
  <c r="L83" i="1" s="1"/>
  <c r="J83" i="1"/>
  <c r="L82" i="1" a="1"/>
  <c r="L82" i="1" s="1"/>
  <c r="J82" i="1"/>
  <c r="L81" i="1"/>
  <c r="L81" i="1" a="1"/>
  <c r="J81" i="1"/>
  <c r="L80" i="1"/>
  <c r="L80" i="1" a="1"/>
  <c r="J80" i="1"/>
  <c r="L79" i="1" a="1"/>
  <c r="L79" i="1" s="1"/>
  <c r="J79" i="1"/>
  <c r="L78" i="1"/>
  <c r="L78" i="1" a="1"/>
  <c r="J78" i="1"/>
  <c r="L77" i="1" a="1"/>
  <c r="L77" i="1" s="1"/>
  <c r="J77" i="1"/>
  <c r="L76" i="1" a="1"/>
  <c r="L76" i="1" s="1"/>
  <c r="J76" i="1"/>
  <c r="L75" i="1" a="1"/>
  <c r="L75" i="1" s="1"/>
  <c r="J75" i="1"/>
  <c r="L74" i="1" a="1"/>
  <c r="L74" i="1" s="1"/>
  <c r="J74" i="1"/>
  <c r="L73" i="1"/>
  <c r="L73" i="1" a="1"/>
  <c r="J73" i="1"/>
  <c r="L72" i="1"/>
  <c r="L72" i="1" a="1"/>
  <c r="J72" i="1"/>
  <c r="L71" i="1" a="1"/>
  <c r="L71" i="1" s="1"/>
  <c r="J71" i="1"/>
  <c r="L70" i="1"/>
  <c r="L70" i="1" a="1"/>
  <c r="J70" i="1"/>
  <c r="L69" i="1" a="1"/>
  <c r="L69" i="1" s="1"/>
  <c r="J69" i="1"/>
  <c r="L68" i="1" a="1"/>
  <c r="L68" i="1" s="1"/>
  <c r="J68" i="1"/>
  <c r="L67" i="1" a="1"/>
  <c r="L67" i="1" s="1"/>
  <c r="J67" i="1"/>
  <c r="L66" i="1" a="1"/>
  <c r="L66" i="1" s="1"/>
  <c r="J66" i="1"/>
  <c r="L65" i="1"/>
  <c r="L65" i="1" a="1"/>
  <c r="J65" i="1"/>
  <c r="L64" i="1"/>
  <c r="L64" i="1" a="1"/>
  <c r="J64" i="1"/>
  <c r="L63" i="1" a="1"/>
  <c r="L63" i="1" s="1"/>
  <c r="J63" i="1"/>
  <c r="L62" i="1" a="1"/>
  <c r="L62" i="1" s="1"/>
  <c r="J62" i="1"/>
  <c r="L61" i="1" a="1"/>
  <c r="L61" i="1" s="1"/>
  <c r="J61" i="1"/>
  <c r="L60" i="1" a="1"/>
  <c r="L60" i="1" s="1"/>
  <c r="J60" i="1"/>
  <c r="L59" i="1" a="1"/>
  <c r="L59" i="1" s="1"/>
  <c r="J59" i="1"/>
  <c r="L58" i="1" a="1"/>
  <c r="L58" i="1" s="1"/>
  <c r="J58" i="1"/>
  <c r="L57" i="1"/>
  <c r="L57" i="1" a="1"/>
  <c r="J57" i="1"/>
  <c r="L56" i="1"/>
  <c r="L56" i="1" a="1"/>
  <c r="J56" i="1"/>
  <c r="L55" i="1" a="1"/>
  <c r="L55" i="1" s="1"/>
  <c r="J55" i="1"/>
  <c r="L54" i="1" a="1"/>
  <c r="L54" i="1" s="1"/>
  <c r="J54" i="1"/>
  <c r="L53" i="1" a="1"/>
  <c r="L53" i="1" s="1"/>
  <c r="J53" i="1"/>
  <c r="L52" i="1" a="1"/>
  <c r="L52" i="1" s="1"/>
  <c r="J52" i="1"/>
  <c r="L51" i="1" a="1"/>
  <c r="L51" i="1" s="1"/>
  <c r="J51" i="1"/>
  <c r="L50" i="1" a="1"/>
  <c r="L50" i="1" s="1"/>
  <c r="J50" i="1"/>
  <c r="L49" i="1"/>
  <c r="L49" i="1" a="1"/>
  <c r="J49" i="1"/>
  <c r="L48" i="1"/>
  <c r="L48" i="1" a="1"/>
  <c r="J48" i="1"/>
  <c r="L47" i="1" a="1"/>
  <c r="L47" i="1" s="1"/>
  <c r="J47" i="1"/>
  <c r="L46" i="1" a="1"/>
  <c r="L46" i="1" s="1"/>
  <c r="J46" i="1"/>
  <c r="L45" i="1" a="1"/>
  <c r="L45" i="1" s="1"/>
  <c r="J45" i="1"/>
  <c r="L44" i="1" a="1"/>
  <c r="L44" i="1" s="1"/>
  <c r="J44" i="1"/>
  <c r="L43" i="1" a="1"/>
  <c r="L43" i="1" s="1"/>
  <c r="J43" i="1"/>
  <c r="L42" i="1" a="1"/>
  <c r="L42" i="1" s="1"/>
  <c r="J42" i="1"/>
  <c r="L41" i="1"/>
  <c r="L41" i="1" a="1"/>
  <c r="J41" i="1"/>
  <c r="L40" i="1"/>
  <c r="L40" i="1" a="1"/>
  <c r="J40" i="1"/>
  <c r="L39" i="1" a="1"/>
  <c r="L39" i="1" s="1"/>
  <c r="J39" i="1"/>
  <c r="L38" i="1" a="1"/>
  <c r="L38" i="1" s="1"/>
  <c r="J38" i="1"/>
  <c r="L37" i="1" a="1"/>
  <c r="L37" i="1" s="1"/>
  <c r="J37" i="1"/>
  <c r="L36" i="1" a="1"/>
  <c r="L36" i="1" s="1"/>
  <c r="J36" i="1"/>
  <c r="L35" i="1" a="1"/>
  <c r="L35" i="1" s="1"/>
  <c r="J35" i="1"/>
  <c r="L34" i="1" a="1"/>
  <c r="L34" i="1" s="1"/>
  <c r="J34" i="1"/>
  <c r="L33" i="1"/>
  <c r="L33" i="1" a="1"/>
  <c r="J33" i="1"/>
  <c r="L32" i="1"/>
  <c r="L32" i="1" a="1"/>
  <c r="J32" i="1"/>
  <c r="L31" i="1" a="1"/>
  <c r="L31" i="1" s="1"/>
  <c r="J31" i="1"/>
  <c r="L30" i="1"/>
  <c r="L30" i="1" a="1"/>
  <c r="J30" i="1"/>
  <c r="L29" i="1" a="1"/>
  <c r="L29" i="1" s="1"/>
  <c r="J29" i="1"/>
  <c r="L28" i="1" a="1"/>
  <c r="L28" i="1" s="1"/>
  <c r="J28" i="1"/>
  <c r="L27" i="1" a="1"/>
  <c r="L27" i="1" s="1"/>
  <c r="J27" i="1"/>
  <c r="L26" i="1" a="1"/>
  <c r="L26" i="1" s="1"/>
  <c r="J26" i="1"/>
  <c r="L25" i="1"/>
  <c r="L25" i="1" a="1"/>
  <c r="J25" i="1"/>
  <c r="L24" i="1"/>
  <c r="L24" i="1" a="1"/>
  <c r="J24" i="1"/>
  <c r="L23" i="1" a="1"/>
  <c r="L23" i="1" s="1"/>
  <c r="J23" i="1"/>
  <c r="L22" i="1"/>
  <c r="L22" i="1" a="1"/>
  <c r="J22" i="1"/>
  <c r="L21" i="1" a="1"/>
  <c r="L21" i="1" s="1"/>
  <c r="J21" i="1"/>
  <c r="L20" i="1" a="1"/>
  <c r="L20" i="1" s="1"/>
  <c r="J20" i="1"/>
  <c r="L19" i="1" a="1"/>
  <c r="L19" i="1" s="1"/>
  <c r="J19" i="1"/>
  <c r="L18" i="1" a="1"/>
  <c r="L18" i="1" s="1"/>
  <c r="J18" i="1"/>
  <c r="L17" i="1"/>
  <c r="L17" i="1" a="1"/>
  <c r="J17" i="1"/>
  <c r="L16" i="1"/>
  <c r="L16" i="1" a="1"/>
  <c r="J16" i="1"/>
  <c r="L15" i="1" a="1"/>
  <c r="L15" i="1" s="1"/>
  <c r="J15" i="1"/>
  <c r="L14" i="1"/>
  <c r="L14" i="1" a="1"/>
  <c r="J14" i="1"/>
  <c r="L13" i="1" a="1"/>
  <c r="L13" i="1" s="1"/>
  <c r="J13" i="1"/>
  <c r="L12" i="1" a="1"/>
  <c r="L12" i="1" s="1"/>
  <c r="J12" i="1"/>
  <c r="L11" i="1" a="1"/>
  <c r="L11" i="1" s="1"/>
  <c r="J11" i="1"/>
  <c r="L10" i="1" a="1"/>
  <c r="L10" i="1" s="1"/>
  <c r="J10" i="1"/>
  <c r="L9" i="1"/>
  <c r="L9" i="1" a="1"/>
  <c r="J9" i="1"/>
  <c r="L8" i="1"/>
  <c r="L8" i="1" a="1"/>
  <c r="J8" i="1"/>
  <c r="L7" i="1" a="1"/>
  <c r="L7" i="1" s="1"/>
  <c r="J7" i="1"/>
  <c r="L6" i="1"/>
  <c r="L6" i="1" a="1"/>
  <c r="J6" i="1"/>
  <c r="L5" i="1" a="1"/>
  <c r="L5" i="1" s="1"/>
  <c r="J5" i="1"/>
  <c r="L4" i="1" a="1"/>
  <c r="L4" i="1" s="1"/>
  <c r="J4" i="1"/>
  <c r="L3" i="1" a="1"/>
  <c r="L3" i="1" s="1"/>
  <c r="J3" i="1"/>
  <c r="L2" i="1" a="1"/>
  <c r="L2" i="1" s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<sst xmlns="http://schemas.openxmlformats.org/spreadsheetml/2006/main" count="348" uniqueCount="347">
  <si>
    <t>IDType</t>
  </si>
  <si>
    <t>ID</t>
  </si>
  <si>
    <t>DME</t>
  </si>
  <si>
    <t>Name</t>
  </si>
  <si>
    <t>اجمالي الرواتب والأجور</t>
  </si>
  <si>
    <t>الضريبة المقتطعة من اجمالي</t>
  </si>
  <si>
    <t>تاريخ مباشرة العمل (التعيين)</t>
  </si>
  <si>
    <t>Count</t>
  </si>
  <si>
    <t>تاريخ انتهاء العمل (انهاء الخدمة)</t>
  </si>
  <si>
    <t>مدة العمل اثناء الفترة الضريبية</t>
  </si>
  <si>
    <t>الاسم العربي</t>
  </si>
  <si>
    <t>الاسم الاول</t>
  </si>
  <si>
    <t>الاب</t>
  </si>
  <si>
    <t>الجد</t>
  </si>
  <si>
    <t>العائله</t>
  </si>
  <si>
    <t>DME2576</t>
  </si>
  <si>
    <t>Abdallah Samir Abdallah Toughoz</t>
  </si>
  <si>
    <t>عبدالله سمير عبدالله توغوظ</t>
  </si>
  <si>
    <t>DME2803</t>
  </si>
  <si>
    <t>Natalie Maher Hussein Salo</t>
  </si>
  <si>
    <t>ناتالي ماهر حسين سلو</t>
  </si>
  <si>
    <t>DME1898</t>
  </si>
  <si>
    <t>Sara Malek Rasmi AlEswed</t>
  </si>
  <si>
    <t>سارة مالك رسمي العسود</t>
  </si>
  <si>
    <t>DME2553</t>
  </si>
  <si>
    <t>Fadi Raed Mohammad Aljawhary</t>
  </si>
  <si>
    <t>فادي رائد محمد الجوهري</t>
  </si>
  <si>
    <t>DME2697</t>
  </si>
  <si>
    <t>Joud Nabeel Saeed Mesmar</t>
  </si>
  <si>
    <t>جود نبيل سعيد مسمار</t>
  </si>
  <si>
    <t>DME1796</t>
  </si>
  <si>
    <t>Ahmad Najdi Abdelhamid Hasan</t>
  </si>
  <si>
    <t>أحمد نجدي عبدالحميد حسن</t>
  </si>
  <si>
    <t>DME1927</t>
  </si>
  <si>
    <t>Rama Jamal Ahmad Al-Eid</t>
  </si>
  <si>
    <t>راما جمال أحمد العيد</t>
  </si>
  <si>
    <t>DME2769</t>
  </si>
  <si>
    <t>Rama Abdallah Hani Alfarah</t>
  </si>
  <si>
    <t>راما عبدالله هاني الفرح</t>
  </si>
  <si>
    <t>DME2453</t>
  </si>
  <si>
    <t>Leen Marwan Ahmed Ibrahim</t>
  </si>
  <si>
    <t>لين مروان أحمد إبراهيم</t>
  </si>
  <si>
    <t>DME2587</t>
  </si>
  <si>
    <t>Anoud Amjed Tariq Haddadin</t>
  </si>
  <si>
    <t>أنود أمجد طارق حدادين</t>
  </si>
  <si>
    <t>DME2649</t>
  </si>
  <si>
    <t>Mohammad Amjad Adel Abu-Khajil</t>
  </si>
  <si>
    <t>محمد أمجد عادل أبوخجيل</t>
  </si>
  <si>
    <t>DME2677</t>
  </si>
  <si>
    <t>Mohammed Emad Mahmoud Alshawakfa</t>
  </si>
  <si>
    <t>محمد عماد محمود الشواقفه</t>
  </si>
  <si>
    <t>DME1693</t>
  </si>
  <si>
    <t>Hanen Wesam F Batarseh</t>
  </si>
  <si>
    <t>حنين وسام فائق بطارسه</t>
  </si>
  <si>
    <t>DME2757</t>
  </si>
  <si>
    <t>Lara Nabil Jamil Muhanna</t>
  </si>
  <si>
    <t>لارا نبيل جميل مهنا</t>
  </si>
  <si>
    <t>DME2731</t>
  </si>
  <si>
    <t>Hala Adham Ahmad AlHijjawi</t>
  </si>
  <si>
    <t>هلا أدهم أحمد الحجاوي</t>
  </si>
  <si>
    <t>DME2629</t>
  </si>
  <si>
    <t>Zeina Raed Jamal Al-Lahham</t>
  </si>
  <si>
    <t>زينة رائد جمال اللحام</t>
  </si>
  <si>
    <t>DME2720</t>
  </si>
  <si>
    <t>Islam Azmi Abdallah Al Shourman</t>
  </si>
  <si>
    <t>إسلام عزمي عبدالله الشورمان</t>
  </si>
  <si>
    <t>DME2560</t>
  </si>
  <si>
    <t>Mamoun Mohammad Ali Joudeh</t>
  </si>
  <si>
    <t>مأمون محمد علي جودة</t>
  </si>
  <si>
    <t>DME2591</t>
  </si>
  <si>
    <t>Ayah Shaker Tawfiq Fakhouri</t>
  </si>
  <si>
    <t>آيه شاكر توفيق فخوري</t>
  </si>
  <si>
    <t>DME2644</t>
  </si>
  <si>
    <t>Zaid Majed Abd Elfattah Jabri</t>
  </si>
  <si>
    <t>زيد ماجد عبدالفتاح جبري</t>
  </si>
  <si>
    <t>DME2816</t>
  </si>
  <si>
    <t>Rama Issa Awwad Gammoh</t>
  </si>
  <si>
    <t>راما عيسى عواد جموه</t>
  </si>
  <si>
    <t>DME2053</t>
  </si>
  <si>
    <t>Joyce Khalil Dawoud Ansarah</t>
  </si>
  <si>
    <t>جويس خليل داوود عنصره</t>
  </si>
  <si>
    <t>DME2700</t>
  </si>
  <si>
    <t>Sewar Fawwaz Rebhi Abuhejleh</t>
  </si>
  <si>
    <t>سوار فواز ربحي أبوحجله</t>
  </si>
  <si>
    <t>DME2851</t>
  </si>
  <si>
    <t>Mais Firas Omran Abbas</t>
  </si>
  <si>
    <t>ميس فراس عمران عباس</t>
  </si>
  <si>
    <t>DME2753</t>
  </si>
  <si>
    <t>Amr Nail Ahmad Shamroukh</t>
  </si>
  <si>
    <t>عمرو نيل أحمد شمرخ</t>
  </si>
  <si>
    <t>DME2622</t>
  </si>
  <si>
    <t>Omar Adeeb Mohammad Ghanayem</t>
  </si>
  <si>
    <t>عمر أديب محمد غنايم</t>
  </si>
  <si>
    <t>DME2388</t>
  </si>
  <si>
    <t>Rama Amjad Aziz Alsawalha</t>
  </si>
  <si>
    <t>راما أمجد عزيز الصوالحه</t>
  </si>
  <si>
    <t>DME2621</t>
  </si>
  <si>
    <t>Sara Abdul Rahman Suleiman Khraim</t>
  </si>
  <si>
    <t>سارة عبدالرحمن سليمان خريم</t>
  </si>
  <si>
    <t>DME2682</t>
  </si>
  <si>
    <t>Eyas Ishaq Atallah Almashaiekh</t>
  </si>
  <si>
    <t>إياس إسحاق عطالله المشايخ</t>
  </si>
  <si>
    <t>DME2685</t>
  </si>
  <si>
    <t>Nour Mahmoud Mohammad Shadid</t>
  </si>
  <si>
    <t>نور محمود محمد شديد</t>
  </si>
  <si>
    <t>DME2344</t>
  </si>
  <si>
    <t>Razan Awss H Mohsen</t>
  </si>
  <si>
    <t>رازان أوس حرب محسن</t>
  </si>
  <si>
    <t>DME2789</t>
  </si>
  <si>
    <t>Khalil Nidal Khalil Katawneh</t>
  </si>
  <si>
    <t>خليل نضال خليل قتاونه</t>
  </si>
  <si>
    <t>DME2665</t>
  </si>
  <si>
    <t>Mohammad Marwan Mohammad Ghanem</t>
  </si>
  <si>
    <t>محمد مروان محمد غانم</t>
  </si>
  <si>
    <t>DME2559</t>
  </si>
  <si>
    <t>Abdulelah Mohd Ghaleb Santirsi</t>
  </si>
  <si>
    <t>عبدالله محمد غالب سنترسي</t>
  </si>
  <si>
    <t>DME2558</t>
  </si>
  <si>
    <t>Ahmad Fida Ahmad Khallad</t>
  </si>
  <si>
    <t>أحمد فداء أحمد خلاد</t>
  </si>
  <si>
    <t>DME2683</t>
  </si>
  <si>
    <t>Nour Bassam Salem Alhraishah</t>
  </si>
  <si>
    <t>نور بسام سالم الحريشه</t>
  </si>
  <si>
    <t>DME2655</t>
  </si>
  <si>
    <t>Omar Kamal Salem Abu Assaf</t>
  </si>
  <si>
    <t>عمر كمال سالم أبوعساف</t>
  </si>
  <si>
    <t>DME2681</t>
  </si>
  <si>
    <t>Bana Khaled Salman Al Hawadya</t>
  </si>
  <si>
    <t>بانا خالد سلمان الهواديه</t>
  </si>
  <si>
    <t>DME2602</t>
  </si>
  <si>
    <t>Nada Abdel Rahman S.Sulaeman Abukeshek</t>
  </si>
  <si>
    <t>ندى عبدالرحمن سليمان أبوكشك</t>
  </si>
  <si>
    <t>DME2680</t>
  </si>
  <si>
    <t>Marwan Khaled Walid Moraly</t>
  </si>
  <si>
    <t>مروان خالد وليد المورلي</t>
  </si>
  <si>
    <t>DME2498</t>
  </si>
  <si>
    <t>Lana ayman ahmad zamel</t>
  </si>
  <si>
    <t>لانا أيمن أحمد زامل</t>
  </si>
  <si>
    <t>DME2842</t>
  </si>
  <si>
    <t>Mohammad Trad Fahmi Al Fuqahaa</t>
  </si>
  <si>
    <t>محمد طراد فهمي الفقهاء</t>
  </si>
  <si>
    <t>DME2510</t>
  </si>
  <si>
    <t>Faris Mamoun Abdeljabar Alqwasmi</t>
  </si>
  <si>
    <t>فارس مامون عبدالجبار القواسمي</t>
  </si>
  <si>
    <t>DME2863</t>
  </si>
  <si>
    <t>Duna Walid Khalid Al-Amri</t>
  </si>
  <si>
    <t>دنا وليد خالد العامري</t>
  </si>
  <si>
    <t>DME2835</t>
  </si>
  <si>
    <t>Karim Sharif Khlouq Hijazi</t>
  </si>
  <si>
    <t>كريم شريف خلوق حجازي</t>
  </si>
  <si>
    <t>DME2654</t>
  </si>
  <si>
    <t>Zaid Ihab Yousef Khreis</t>
  </si>
  <si>
    <t>زيد إيهاب يوسف خريس</t>
  </si>
  <si>
    <t>DME2790</t>
  </si>
  <si>
    <t>Tala Issa Khaleel Qaqish</t>
  </si>
  <si>
    <t>تالا عيسى خليل قايش</t>
  </si>
  <si>
    <t>DME2758</t>
  </si>
  <si>
    <t>Aya Motasem Salahaldeen Ammous</t>
  </si>
  <si>
    <t>آيه معتصم صلاح الدين عموص</t>
  </si>
  <si>
    <t>DME2782</t>
  </si>
  <si>
    <t>Hamza Naiem Ismail AlMasri</t>
  </si>
  <si>
    <t>حمزة نعيم إسماعيل المصري</t>
  </si>
  <si>
    <t>DME2852</t>
  </si>
  <si>
    <t>Sadeen Iyad Suleiman Al Adham</t>
  </si>
  <si>
    <t>سدين إياد سليمان الأدهم</t>
  </si>
  <si>
    <t>DME2679</t>
  </si>
  <si>
    <t>Luma Riyad Sabri Ainabousi</t>
  </si>
  <si>
    <t>لمى رياض صبري عينبوسي</t>
  </si>
  <si>
    <t>DME2684</t>
  </si>
  <si>
    <t>Ibrahim Ahmad Tawfiq Mohammed</t>
  </si>
  <si>
    <t>إبراهيم أحمد توفيق محمد</t>
  </si>
  <si>
    <t>DME2746</t>
  </si>
  <si>
    <t>Mohammad Hussein Ismail Abu Arida</t>
  </si>
  <si>
    <t>محمد حسين إسماعيل أبوعريضة</t>
  </si>
  <si>
    <t>DME2563</t>
  </si>
  <si>
    <t>Haneen Mohammad Diab Emran</t>
  </si>
  <si>
    <t>حنين محمد دياب عمران</t>
  </si>
  <si>
    <t>DME2345</t>
  </si>
  <si>
    <t>Ibrahim Jamal Sulaiman Atiyeh</t>
  </si>
  <si>
    <t>إبراهيم جمال سليمان عطية</t>
  </si>
  <si>
    <t>DME1868</t>
  </si>
  <si>
    <t>Beyan Zaki Mohd Zaher</t>
  </si>
  <si>
    <t>بيان زكي محمد ظاهر</t>
  </si>
  <si>
    <t>DME2598</t>
  </si>
  <si>
    <t>Yousef Abouelghait Ali Mohamed Mousa</t>
  </si>
  <si>
    <t>يوسف أبوالغيط علي موسى</t>
  </si>
  <si>
    <t>DME1586</t>
  </si>
  <si>
    <t>Ali Ahmad Mustafa Abdalla</t>
  </si>
  <si>
    <t>علي أحمد مصطفى عبدالله</t>
  </si>
  <si>
    <t>DME1838</t>
  </si>
  <si>
    <t>Ziad Jamil Mahmoud Khwais</t>
  </si>
  <si>
    <t>زياد جميل محمود خويص</t>
  </si>
  <si>
    <t>DME0043</t>
  </si>
  <si>
    <t>Waleed Nasser</t>
  </si>
  <si>
    <t>وليد حاتم إبراهيم ناصر</t>
  </si>
  <si>
    <t>DME2439</t>
  </si>
  <si>
    <t>Sami Ghaleb S AlFarah</t>
  </si>
  <si>
    <t>سامي غالب س. الفرح</t>
  </si>
  <si>
    <t>DME2362</t>
  </si>
  <si>
    <t>Safa Hisham Khaled Abu Rokbeh</t>
  </si>
  <si>
    <t>صفاء هشام خالد أبوركبه</t>
  </si>
  <si>
    <t>DME1202</t>
  </si>
  <si>
    <t>Hadeel Mansour Salem Al Jobour</t>
  </si>
  <si>
    <t>هديل منصور سالم الجبور</t>
  </si>
  <si>
    <t>DME2599</t>
  </si>
  <si>
    <t>Momen Hasan Mohammad Althenin</t>
  </si>
  <si>
    <t>مؤمن حسن محمد أبوالذنين</t>
  </si>
  <si>
    <t>DME1839</t>
  </si>
  <si>
    <t>Ahmad Mohammad Subhi Najim</t>
  </si>
  <si>
    <t>أحمد محمد صباح نجم</t>
  </si>
  <si>
    <t>DME0926</t>
  </si>
  <si>
    <t>Rana Ghazi Mohamed Saeed Ababneh</t>
  </si>
  <si>
    <t>رنا غازي محمد عبابنة</t>
  </si>
  <si>
    <t>DME1406</t>
  </si>
  <si>
    <t>Ahmad Adel Awad Alamer</t>
  </si>
  <si>
    <t>أحمد عادل عوض العامر</t>
  </si>
  <si>
    <t>DME1539</t>
  </si>
  <si>
    <t>Duaa Issa Shaban Alhourani</t>
  </si>
  <si>
    <t>دعاء عيسى شعبان الحوراني</t>
  </si>
  <si>
    <t>DME2588</t>
  </si>
  <si>
    <t>Sufian Nayef Abdelqader Hamdan</t>
  </si>
  <si>
    <t>سفيان نايف عبدالقادر حمدان</t>
  </si>
  <si>
    <t>DME1374</t>
  </si>
  <si>
    <t>Mallak Mohammad Nour Tayseer Aljamal</t>
  </si>
  <si>
    <t>ملك محمد نور الجمال</t>
  </si>
  <si>
    <t>DME2567</t>
  </si>
  <si>
    <t>Dima Samir Ayyad Saadeh</t>
  </si>
  <si>
    <t>ديما سمير عياد سعده</t>
  </si>
  <si>
    <t>DME2691</t>
  </si>
  <si>
    <t>Haya Issam Mahmoud Alkhawaja</t>
  </si>
  <si>
    <t>هيا عصام محمود الخواجة</t>
  </si>
  <si>
    <t>DME1348</t>
  </si>
  <si>
    <t>Hebah Alaaldin AbdelLatif Qamhiya</t>
  </si>
  <si>
    <t>هباه علاءالدين عبداللطيف قمحيه</t>
  </si>
  <si>
    <t>DME1906</t>
  </si>
  <si>
    <t>Hatem Nidal Akram Sallam</t>
  </si>
  <si>
    <t>حاتم نضال أكرم سلام</t>
  </si>
  <si>
    <t>DME1705</t>
  </si>
  <si>
    <t>Jafar Adel Hasan Samara</t>
  </si>
  <si>
    <t>جعفر عادل حسن سمارة</t>
  </si>
  <si>
    <t>DME0899</t>
  </si>
  <si>
    <t>Rami Fakher Aldin Mahmoud Abu Irhayem</t>
  </si>
  <si>
    <t>رامي فخرالدين محمود أبوإرحيم</t>
  </si>
  <si>
    <t>DME2091</t>
  </si>
  <si>
    <t>Yahia Mhd Sami Abo Al Shamat</t>
  </si>
  <si>
    <t>يحيى محمد سامي أبوالشامات</t>
  </si>
  <si>
    <t>DME1605</t>
  </si>
  <si>
    <t>Nour Mohammad Fayez Abu Elenin</t>
  </si>
  <si>
    <t>نور محمد فايز أبوالعينين</t>
  </si>
  <si>
    <t>DME1175</t>
  </si>
  <si>
    <t>Asma Shabib Anas Almasri</t>
  </si>
  <si>
    <t>أسماء شبيب أنس المصري</t>
  </si>
  <si>
    <t>DME1764</t>
  </si>
  <si>
    <t>Haneen Mohammad Ahmad Alhammouri</t>
  </si>
  <si>
    <t>حنين محمد أحمد الحموري</t>
  </si>
  <si>
    <t>DME1177</t>
  </si>
  <si>
    <t>Khaled Abdel Rahman Abdel Alsatar Albakar</t>
  </si>
  <si>
    <t>خالد عبدالرحمن عبدالستار البكار</t>
  </si>
  <si>
    <t>DME2286</t>
  </si>
  <si>
    <t>Yasmin Yousef Al Haj Falah Maayah</t>
  </si>
  <si>
    <t>ياسمين يوسف الحاج فلاح معايعة</t>
  </si>
  <si>
    <t>DME2168</t>
  </si>
  <si>
    <t>Serean Abdelatheem Hasan Abualrous</t>
  </si>
  <si>
    <t>سريان عبدالعظيم حسن أبوالروس</t>
  </si>
  <si>
    <t>DME1544</t>
  </si>
  <si>
    <t>Shahd Ali Ahmed Awad</t>
  </si>
  <si>
    <t>شهد علي أحمد عوض</t>
  </si>
  <si>
    <t>DME2239</t>
  </si>
  <si>
    <t>Nireen Wasfi (Mohammad Ali) Yazaw</t>
  </si>
  <si>
    <t>نيرين وصفي (محمد علي) يزاو</t>
  </si>
  <si>
    <t>DME2660</t>
  </si>
  <si>
    <t>Waed Riyad Izzat Aldairiah</t>
  </si>
  <si>
    <t>وعد رياض عزت الديرية</t>
  </si>
  <si>
    <t>DME2466</t>
  </si>
  <si>
    <t>Christeen Farid Elias AL Saqqa</t>
  </si>
  <si>
    <t>كريستين فريد إلياس السقا</t>
  </si>
  <si>
    <t>DME1410</t>
  </si>
  <si>
    <t>Ruba Ibrahim Mahmoud sultan</t>
  </si>
  <si>
    <t>ربى إبراهيم محمود سلطان</t>
  </si>
  <si>
    <t>DME2267</t>
  </si>
  <si>
    <t>Mohammad Salah Ibrahim Almajali</t>
  </si>
  <si>
    <t>محمد صلاح إبراهيم المجالي</t>
  </si>
  <si>
    <t>DME2624</t>
  </si>
  <si>
    <t>Mujahed Yousef Taha Abuarqob</t>
  </si>
  <si>
    <t>مجاهد يوسف طه أبوعرقوب</t>
  </si>
  <si>
    <t>DME2557</t>
  </si>
  <si>
    <t>Anas Mohammad Khaled Abo Alhaijaa</t>
  </si>
  <si>
    <t>أنس محمد خالد أبوالهيجة</t>
  </si>
  <si>
    <t>DME2787</t>
  </si>
  <si>
    <t>Marah Khaled Fawzi AlSalti</t>
  </si>
  <si>
    <t>مرح خالد فوزي السلطي</t>
  </si>
  <si>
    <t>DME1409</t>
  </si>
  <si>
    <t>Rema Mohammed Abdullah Al-Ramahi</t>
  </si>
  <si>
    <t>ريما محمد عبدالله الرمحي</t>
  </si>
  <si>
    <t>DME1040</t>
  </si>
  <si>
    <t>Dana Piero Wahi Zarnikian</t>
  </si>
  <si>
    <t>دانا بييرو واهي زرنيكيان</t>
  </si>
  <si>
    <t>DME1459</t>
  </si>
  <si>
    <t>Yara Mohammad Rakan AlJazi</t>
  </si>
  <si>
    <t>يارا محمد راكان الجازي</t>
  </si>
  <si>
    <t>DME2539</t>
  </si>
  <si>
    <t>Dania Ahmed Qasem Marzouqah</t>
  </si>
  <si>
    <t>دانيا أحمد قاسم مرزوقة</t>
  </si>
  <si>
    <t>DME1784</t>
  </si>
  <si>
    <t>Mohammad Saeed Kamal Buqaileh</t>
  </si>
  <si>
    <t>محمد سعيد كمال بقيلة</t>
  </si>
  <si>
    <t>DME2725</t>
  </si>
  <si>
    <t>Tariq Ziad Sadiq Al Sharaa</t>
  </si>
  <si>
    <t>طارق زياد صادق الشرع</t>
  </si>
  <si>
    <t>DME2370</t>
  </si>
  <si>
    <t>Hazim mohammad akram dheif allah khasawneh</t>
  </si>
  <si>
    <t>حازم محمد أكرم خصاونه</t>
  </si>
  <si>
    <t>DME1905</t>
  </si>
  <si>
    <t>Ali Mahmoud Bahjat Homsi</t>
  </si>
  <si>
    <t>علي محمود بهجت حمصي</t>
  </si>
  <si>
    <t>DME1888</t>
  </si>
  <si>
    <t>Dina Faisal Awad Kreshan</t>
  </si>
  <si>
    <t>دينا فيصل عوض كريشان</t>
  </si>
  <si>
    <t>DME2578</t>
  </si>
  <si>
    <t>Lana Talat Jamal El-Bedour</t>
  </si>
  <si>
    <t>لانا طلعت جمال البدور</t>
  </si>
  <si>
    <t>DME1958</t>
  </si>
  <si>
    <t>Laila Fozan Jamal Al-Hourani</t>
  </si>
  <si>
    <t>ليلى فوزان جمال الحوراني</t>
  </si>
  <si>
    <t>DME2501</t>
  </si>
  <si>
    <t>Seirli Sarkis Y. Sanjian</t>
  </si>
  <si>
    <t>سيرلي ساركيس يعقوب سانجيان</t>
  </si>
  <si>
    <t>DME2590</t>
  </si>
  <si>
    <t>Basil Isam Mahmoud Al-Momany</t>
  </si>
  <si>
    <t>باسل عصام محمود المومني</t>
  </si>
  <si>
    <t>DME2676</t>
  </si>
  <si>
    <t>Saif Nitham Jebril Aljelani</t>
  </si>
  <si>
    <t>سيف نظام جبريل الجلاني</t>
  </si>
  <si>
    <t>DME2589</t>
  </si>
  <si>
    <t>Khaleel Loay Khalil Al-Masri</t>
  </si>
  <si>
    <t>خليل لؤي خليل المصري</t>
  </si>
  <si>
    <t>DME2169</t>
  </si>
  <si>
    <t>Tala Jehad Ramadan Abushariha</t>
  </si>
  <si>
    <t>تالا جهاد رمضان أبوشريحة</t>
  </si>
  <si>
    <t>DME2845</t>
  </si>
  <si>
    <t>Shahd Ahmad Ali Obeidat</t>
  </si>
  <si>
    <t>شهد أحمد علي عبيدات</t>
  </si>
  <si>
    <t>DME1280</t>
  </si>
  <si>
    <t>Raneem Khaled Sharif Odeh</t>
  </si>
  <si>
    <t>رنيم خالد شريف عودة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</si>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</sst>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2" fillId="2" borderId="1" xfId="0" applyFont="1" applyFill="1" applyBorder="1"/>
    <xf numFmtId="0" fontId="2" fillId="2" borderId="0" xfId="0" applyFont="1" applyFill="1"/>
    <xf numFmtId="164" fontId="0" fillId="0" borderId="0" xfId="1" applyNumberFormat="1" applyFont="1"/>
    <xf numFmtId="14" fontId="0" fillId="0" borderId="0" xfId="0" applyNumberFormat="1" applyAlignment="1">
      <alignment horizontal="center"/>
    </xf>
    <xf numFmtId="43" fontId="0" fillId="0" borderId="0" xfId="0" applyNumberFormat="1"/>
    <xf numFmtId="164" fontId="0" fillId="0" borderId="0" xfId="1" applyNumberFormat="1" applyFont="1" applyFill="1"/>
    <xf numFmtId="0" fontId="0" fillId="3" borderId="0" xfId="0" applyFill="1"/>
    <xf numFmtId="164" fontId="3" fillId="4" borderId="2" xfId="1" applyNumberFormat="1" applyFont="1" applyFill="1" applyBorder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86A91-1121-BA48-8F1D-907CB10296E5}">
  <dimension ref="A1:P113"/>
  <sheetViews>
    <sheetView tabSelected="1" workbookViewId="0">
      <selection activeCell="N117" sqref="N117"/>
    </sheetView>
  </sheetViews>
  <sheetFormatPr baseColWidth="10" defaultRowHeight="16" x14ac:dyDescent="0.2"/>
  <sheetData>
    <row r="1" spans="1:15" ht="15" customHeight="1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>
        <v>2</v>
      </c>
      <c r="B2">
        <v>2000045418</v>
      </c>
      <c r="C2" t="s">
        <v>15</v>
      </c>
      <c r="D2" t="s">
        <v>16</v>
      </c>
      <c r="E2" s="4">
        <v>8400.5</v>
      </c>
      <c r="F2" s="4">
        <v>0</v>
      </c>
      <c r="G2" s="1">
        <v>45536</v>
      </c>
      <c r="H2">
        <v>12</v>
      </c>
      <c r="I2" s="5"/>
      <c r="J2" t="str">
        <f>CONCATENATE(,H2," ","شهر")</f>
        <v>12 شهر</v>
      </c>
      <c r="K2" t="s">
        <v>17</v>
      </c>
      <c r="L2" s="6" t="str" cm="1">
        <f t="array" ref="L2:O2">_xlfn.TEXTSPLIT(K2," ")</f>
        <v>عبدالله</v>
      </c>
      <c r="M2" t="str">
        <v>سمير</v>
      </c>
      <c r="N2" t="str">
        <v>عبدالله</v>
      </c>
      <c r="O2" t="str">
        <v>توغوظ</v>
      </c>
    </row>
    <row r="3" spans="1:15" x14ac:dyDescent="0.2">
      <c r="A3">
        <v>2</v>
      </c>
      <c r="B3">
        <v>2000059602</v>
      </c>
      <c r="C3" t="s">
        <v>18</v>
      </c>
      <c r="D3" t="s">
        <v>19</v>
      </c>
      <c r="E3" s="4">
        <v>2699.86</v>
      </c>
      <c r="F3" s="4">
        <v>22.5</v>
      </c>
      <c r="G3" s="1">
        <v>45914</v>
      </c>
      <c r="H3">
        <v>3</v>
      </c>
      <c r="I3" s="1">
        <v>45999</v>
      </c>
      <c r="J3" t="str">
        <f t="shared" ref="J3:J66" si="0">CONCATENATE(,H3," ","شهر")</f>
        <v>3 شهر</v>
      </c>
      <c r="K3" t="s">
        <v>20</v>
      </c>
      <c r="L3" s="6" t="str" cm="1">
        <f t="array" ref="L3:O3">_xlfn.TEXTSPLIT(K3," ")</f>
        <v>ناتالي</v>
      </c>
      <c r="M3" t="str">
        <v>ماهر</v>
      </c>
      <c r="N3" t="str">
        <v>حسين</v>
      </c>
      <c r="O3" t="str">
        <v>سلو</v>
      </c>
    </row>
    <row r="4" spans="1:15" x14ac:dyDescent="0.2">
      <c r="A4">
        <v>2</v>
      </c>
      <c r="B4">
        <v>2000094749</v>
      </c>
      <c r="C4" t="s">
        <v>21</v>
      </c>
      <c r="D4" t="s">
        <v>22</v>
      </c>
      <c r="E4" s="4">
        <v>900</v>
      </c>
      <c r="F4" s="4">
        <v>8</v>
      </c>
      <c r="G4" s="1">
        <v>44903</v>
      </c>
      <c r="H4">
        <v>1</v>
      </c>
      <c r="I4" s="1">
        <v>45688</v>
      </c>
      <c r="J4" t="str">
        <f t="shared" si="0"/>
        <v>1 شهر</v>
      </c>
      <c r="K4" t="s">
        <v>23</v>
      </c>
      <c r="L4" s="6" t="str" cm="1">
        <f t="array" ref="L4:O4">_xlfn.TEXTSPLIT(K4," ")</f>
        <v>سارة</v>
      </c>
      <c r="M4" t="str">
        <v>مالك</v>
      </c>
      <c r="N4" t="str">
        <v>رسمي</v>
      </c>
      <c r="O4" t="str">
        <v>العسود</v>
      </c>
    </row>
    <row r="5" spans="1:15" x14ac:dyDescent="0.2">
      <c r="A5">
        <v>2</v>
      </c>
      <c r="B5">
        <v>2000096551</v>
      </c>
      <c r="C5" t="s">
        <v>24</v>
      </c>
      <c r="D5" t="s">
        <v>25</v>
      </c>
      <c r="E5" s="4">
        <v>9000.25</v>
      </c>
      <c r="F5" s="4">
        <v>0</v>
      </c>
      <c r="G5" s="1">
        <v>45529</v>
      </c>
      <c r="H5">
        <v>12</v>
      </c>
      <c r="I5" s="5"/>
      <c r="J5" t="str">
        <f t="shared" si="0"/>
        <v>12 شهر</v>
      </c>
      <c r="K5" t="s">
        <v>26</v>
      </c>
      <c r="L5" s="6" t="str" cm="1">
        <f t="array" ref="L5:O5">_xlfn.TEXTSPLIT(K5," ")</f>
        <v>فادي</v>
      </c>
      <c r="M5" t="str">
        <v>رائد</v>
      </c>
      <c r="N5" t="str">
        <v>محمد</v>
      </c>
      <c r="O5" t="str">
        <v>الجوهري</v>
      </c>
    </row>
    <row r="6" spans="1:15" x14ac:dyDescent="0.2">
      <c r="A6">
        <v>2</v>
      </c>
      <c r="B6">
        <v>2000102089</v>
      </c>
      <c r="C6" t="s">
        <v>27</v>
      </c>
      <c r="D6" t="s">
        <v>28</v>
      </c>
      <c r="E6" s="4">
        <v>8055</v>
      </c>
      <c r="F6" s="4">
        <v>67.5</v>
      </c>
      <c r="G6" s="1">
        <v>45753</v>
      </c>
      <c r="H6">
        <v>9</v>
      </c>
      <c r="I6" s="5"/>
      <c r="J6" t="str">
        <f t="shared" si="0"/>
        <v>9 شهر</v>
      </c>
      <c r="K6" t="s">
        <v>29</v>
      </c>
      <c r="L6" s="6" t="str" cm="1">
        <f t="array" ref="L6:O6">_xlfn.TEXTSPLIT(K6," ")</f>
        <v>جود</v>
      </c>
      <c r="M6" t="str">
        <v>نبيل</v>
      </c>
      <c r="N6" t="str">
        <v>سعيد</v>
      </c>
      <c r="O6" t="str">
        <v>مسمار</v>
      </c>
    </row>
    <row r="7" spans="1:15" x14ac:dyDescent="0.2">
      <c r="A7">
        <v>2</v>
      </c>
      <c r="B7">
        <v>2000115703</v>
      </c>
      <c r="C7" t="s">
        <v>30</v>
      </c>
      <c r="D7" t="s">
        <v>31</v>
      </c>
      <c r="E7" s="4">
        <v>14399.7</v>
      </c>
      <c r="F7" s="4">
        <v>290.29999999999995</v>
      </c>
      <c r="G7" s="1">
        <v>44801</v>
      </c>
      <c r="H7">
        <v>12</v>
      </c>
      <c r="I7" s="5"/>
      <c r="J7" t="str">
        <f t="shared" si="0"/>
        <v>12 شهر</v>
      </c>
      <c r="K7" t="s">
        <v>32</v>
      </c>
      <c r="L7" s="6" t="str" cm="1">
        <f t="array" ref="L7:O7">_xlfn.TEXTSPLIT(K7," ")</f>
        <v>أحمد</v>
      </c>
      <c r="M7" t="str">
        <v>نجدي</v>
      </c>
      <c r="N7" t="str">
        <v>عبدالحميد</v>
      </c>
      <c r="O7" t="str">
        <v>حسن</v>
      </c>
    </row>
    <row r="8" spans="1:15" x14ac:dyDescent="0.2">
      <c r="A8">
        <v>2</v>
      </c>
      <c r="B8">
        <v>2000126873</v>
      </c>
      <c r="C8" t="s">
        <v>33</v>
      </c>
      <c r="D8" t="s">
        <v>34</v>
      </c>
      <c r="E8" s="4">
        <v>10800</v>
      </c>
      <c r="F8" s="4">
        <v>90</v>
      </c>
      <c r="G8" s="1">
        <v>44955</v>
      </c>
      <c r="H8">
        <v>12</v>
      </c>
      <c r="I8" s="5"/>
      <c r="J8" t="str">
        <f t="shared" si="0"/>
        <v>12 شهر</v>
      </c>
      <c r="K8" t="s">
        <v>35</v>
      </c>
      <c r="L8" s="6" t="str" cm="1">
        <f t="array" ref="L8:O8">_xlfn.TEXTSPLIT(K8," ")</f>
        <v>راما</v>
      </c>
      <c r="M8" t="str">
        <v>جمال</v>
      </c>
      <c r="N8" t="str">
        <v>أحمد</v>
      </c>
      <c r="O8" t="str">
        <v>العيد</v>
      </c>
    </row>
    <row r="9" spans="1:15" x14ac:dyDescent="0.2">
      <c r="A9">
        <v>2</v>
      </c>
      <c r="B9">
        <v>2000143925</v>
      </c>
      <c r="C9" t="s">
        <v>36</v>
      </c>
      <c r="D9" t="s">
        <v>37</v>
      </c>
      <c r="E9" s="4">
        <v>5500</v>
      </c>
      <c r="F9" s="4">
        <v>87.5</v>
      </c>
      <c r="G9" s="1">
        <v>45872</v>
      </c>
      <c r="H9">
        <v>5</v>
      </c>
      <c r="I9" s="5"/>
      <c r="J9" t="str">
        <f t="shared" si="0"/>
        <v>5 شهر</v>
      </c>
      <c r="K9" t="s">
        <v>38</v>
      </c>
      <c r="L9" s="6" t="str" cm="1">
        <f t="array" ref="L9:O9">_xlfn.TEXTSPLIT(K9," ")</f>
        <v>راما</v>
      </c>
      <c r="M9" t="str">
        <v>عبدالله</v>
      </c>
      <c r="N9" t="str">
        <v>هاني</v>
      </c>
      <c r="O9" t="str">
        <v>الفرح</v>
      </c>
    </row>
    <row r="10" spans="1:15" x14ac:dyDescent="0.2">
      <c r="A10">
        <v>2</v>
      </c>
      <c r="B10">
        <v>2000158415</v>
      </c>
      <c r="C10" t="s">
        <v>39</v>
      </c>
      <c r="D10" t="s">
        <v>40</v>
      </c>
      <c r="E10" s="4">
        <v>9660.5</v>
      </c>
      <c r="F10" s="4">
        <v>36</v>
      </c>
      <c r="G10" s="1">
        <v>45422</v>
      </c>
      <c r="H10">
        <v>12</v>
      </c>
      <c r="I10" s="5"/>
      <c r="J10" t="str">
        <f t="shared" si="0"/>
        <v>12 شهر</v>
      </c>
      <c r="K10" t="s">
        <v>41</v>
      </c>
      <c r="L10" s="6" t="str" cm="1">
        <f t="array" ref="L10:O10">_xlfn.TEXTSPLIT(K10," ")</f>
        <v>لين</v>
      </c>
      <c r="M10" t="str">
        <v>مروان</v>
      </c>
      <c r="N10" t="str">
        <v>أحمد</v>
      </c>
      <c r="O10" t="str">
        <v>إبراهيم</v>
      </c>
    </row>
    <row r="11" spans="1:15" x14ac:dyDescent="0.2">
      <c r="A11">
        <v>2</v>
      </c>
      <c r="B11">
        <v>2000163342</v>
      </c>
      <c r="C11" t="s">
        <v>42</v>
      </c>
      <c r="D11" t="s">
        <v>43</v>
      </c>
      <c r="E11" s="4">
        <v>9600.5</v>
      </c>
      <c r="F11" s="4">
        <v>30</v>
      </c>
      <c r="G11" s="1">
        <v>45578</v>
      </c>
      <c r="H11">
        <v>12</v>
      </c>
      <c r="I11" s="5"/>
      <c r="J11" t="str">
        <f t="shared" si="0"/>
        <v>12 شهر</v>
      </c>
      <c r="K11" t="s">
        <v>44</v>
      </c>
      <c r="L11" s="6" t="str" cm="1">
        <f t="array" ref="L11:O11">_xlfn.TEXTSPLIT(K11," ")</f>
        <v>أنود</v>
      </c>
      <c r="M11" t="str">
        <v>أمجد</v>
      </c>
      <c r="N11" t="str">
        <v>طارق</v>
      </c>
      <c r="O11" t="str">
        <v>حدادين</v>
      </c>
    </row>
    <row r="12" spans="1:15" x14ac:dyDescent="0.2">
      <c r="A12">
        <v>2</v>
      </c>
      <c r="B12">
        <v>2000168054</v>
      </c>
      <c r="C12" t="s">
        <v>45</v>
      </c>
      <c r="D12" t="s">
        <v>46</v>
      </c>
      <c r="E12" s="4">
        <v>9345.9599999999991</v>
      </c>
      <c r="F12" s="4">
        <v>30</v>
      </c>
      <c r="G12" s="1">
        <v>45669</v>
      </c>
      <c r="H12">
        <v>12</v>
      </c>
      <c r="I12" s="5"/>
      <c r="J12" t="str">
        <f t="shared" si="0"/>
        <v>12 شهر</v>
      </c>
      <c r="K12" t="s">
        <v>47</v>
      </c>
      <c r="L12" s="6" t="str" cm="1">
        <f t="array" ref="L12:O12">_xlfn.TEXTSPLIT(K12," ")</f>
        <v>محمد</v>
      </c>
      <c r="M12" t="str">
        <v>أمجد</v>
      </c>
      <c r="N12" t="str">
        <v>عادل</v>
      </c>
      <c r="O12" t="str">
        <v>أبوخجيل</v>
      </c>
    </row>
    <row r="13" spans="1:15" x14ac:dyDescent="0.2">
      <c r="A13">
        <v>2</v>
      </c>
      <c r="B13">
        <v>2000185361</v>
      </c>
      <c r="C13" t="s">
        <v>48</v>
      </c>
      <c r="D13" t="s">
        <v>49</v>
      </c>
      <c r="E13" s="4">
        <v>11550</v>
      </c>
      <c r="F13" s="4">
        <v>192.5</v>
      </c>
      <c r="G13" s="1">
        <v>45704</v>
      </c>
      <c r="H13">
        <v>11</v>
      </c>
      <c r="I13" s="5"/>
      <c r="J13" t="str">
        <f t="shared" si="0"/>
        <v>11 شهر</v>
      </c>
      <c r="K13" t="s">
        <v>50</v>
      </c>
      <c r="L13" s="6" t="str" cm="1">
        <f t="array" ref="L13:O13">_xlfn.TEXTSPLIT(K13," ")</f>
        <v>محمد</v>
      </c>
      <c r="M13" t="str">
        <v>عماد</v>
      </c>
      <c r="N13" t="str">
        <v>محمود</v>
      </c>
      <c r="O13" t="str">
        <v>الشواقفه</v>
      </c>
    </row>
    <row r="14" spans="1:15" x14ac:dyDescent="0.2">
      <c r="A14">
        <v>2</v>
      </c>
      <c r="B14">
        <v>2000188844</v>
      </c>
      <c r="C14" t="s">
        <v>51</v>
      </c>
      <c r="D14" t="s">
        <v>52</v>
      </c>
      <c r="E14" s="4">
        <v>11249.7</v>
      </c>
      <c r="F14" s="4">
        <v>262.7</v>
      </c>
      <c r="G14" s="1">
        <v>44710</v>
      </c>
      <c r="H14">
        <v>9</v>
      </c>
      <c r="I14" s="1">
        <v>45953</v>
      </c>
      <c r="J14" t="str">
        <f t="shared" si="0"/>
        <v>9 شهر</v>
      </c>
      <c r="K14" t="s">
        <v>53</v>
      </c>
      <c r="L14" s="6" t="str" cm="1">
        <f t="array" ref="L14:O14">_xlfn.TEXTSPLIT(K14," ")</f>
        <v>حنين</v>
      </c>
      <c r="M14" t="str">
        <v>وسام</v>
      </c>
      <c r="N14" t="str">
        <v>فائق</v>
      </c>
      <c r="O14" t="str">
        <v>بطارسه</v>
      </c>
    </row>
    <row r="15" spans="1:15" x14ac:dyDescent="0.2">
      <c r="A15">
        <v>2</v>
      </c>
      <c r="B15">
        <v>2000193426</v>
      </c>
      <c r="C15" t="s">
        <v>54</v>
      </c>
      <c r="D15" t="s">
        <v>55</v>
      </c>
      <c r="E15" s="4">
        <v>1739.75</v>
      </c>
      <c r="F15" s="4">
        <v>0</v>
      </c>
      <c r="G15" s="1">
        <v>45844</v>
      </c>
      <c r="H15">
        <v>6</v>
      </c>
      <c r="I15" s="5"/>
      <c r="J15" t="str">
        <f t="shared" si="0"/>
        <v>6 شهر</v>
      </c>
      <c r="K15" t="s">
        <v>56</v>
      </c>
      <c r="L15" s="6" t="str" cm="1">
        <f t="array" ref="L15:O15">_xlfn.TEXTSPLIT(K15," ")</f>
        <v>لارا</v>
      </c>
      <c r="M15" t="str">
        <v>نبيل</v>
      </c>
      <c r="N15" t="str">
        <v>جميل</v>
      </c>
      <c r="O15" t="str">
        <v>مهنا</v>
      </c>
    </row>
    <row r="16" spans="1:15" x14ac:dyDescent="0.2">
      <c r="A16">
        <v>2</v>
      </c>
      <c r="B16">
        <v>2000197829</v>
      </c>
      <c r="C16" t="s">
        <v>57</v>
      </c>
      <c r="D16" t="s">
        <v>58</v>
      </c>
      <c r="E16" s="4">
        <v>8628.77</v>
      </c>
      <c r="F16" s="4">
        <v>169.39999999999998</v>
      </c>
      <c r="G16" s="1">
        <v>45803</v>
      </c>
      <c r="H16">
        <v>7</v>
      </c>
      <c r="I16" s="5"/>
      <c r="J16" t="str">
        <f t="shared" si="0"/>
        <v>7 شهر</v>
      </c>
      <c r="K16" t="s">
        <v>59</v>
      </c>
      <c r="L16" s="6" t="str" cm="1">
        <f t="array" ref="L16:O16">_xlfn.TEXTSPLIT(K16," ")</f>
        <v>هلا</v>
      </c>
      <c r="M16" t="str">
        <v>أدهم</v>
      </c>
      <c r="N16" t="str">
        <v>أحمد</v>
      </c>
      <c r="O16" t="str">
        <v>الحجاوي</v>
      </c>
    </row>
    <row r="17" spans="1:15" x14ac:dyDescent="0.2">
      <c r="A17">
        <v>2</v>
      </c>
      <c r="B17">
        <v>2000220321</v>
      </c>
      <c r="C17" t="s">
        <v>60</v>
      </c>
      <c r="D17" t="s">
        <v>61</v>
      </c>
      <c r="E17" s="4">
        <v>10800</v>
      </c>
      <c r="F17" s="4">
        <v>90</v>
      </c>
      <c r="G17" s="1">
        <v>45641</v>
      </c>
      <c r="H17">
        <v>12</v>
      </c>
      <c r="I17" s="5"/>
      <c r="J17" t="str">
        <f t="shared" si="0"/>
        <v>12 شهر</v>
      </c>
      <c r="K17" t="s">
        <v>62</v>
      </c>
      <c r="L17" s="6" t="str" cm="1">
        <f t="array" ref="L17:O17">_xlfn.TEXTSPLIT(K17," ")</f>
        <v>زينة</v>
      </c>
      <c r="M17" t="str">
        <v>رائد</v>
      </c>
      <c r="N17" t="str">
        <v>جمال</v>
      </c>
      <c r="O17" t="str">
        <v>اللحام</v>
      </c>
    </row>
    <row r="18" spans="1:15" x14ac:dyDescent="0.2">
      <c r="A18">
        <v>2</v>
      </c>
      <c r="B18">
        <v>2000225239</v>
      </c>
      <c r="C18" t="s">
        <v>63</v>
      </c>
      <c r="D18" t="s">
        <v>64</v>
      </c>
      <c r="E18" s="4">
        <v>1107.1399999999999</v>
      </c>
      <c r="F18" s="4">
        <v>0</v>
      </c>
      <c r="G18" s="1">
        <v>45795</v>
      </c>
      <c r="H18">
        <v>2</v>
      </c>
      <c r="I18" s="5"/>
      <c r="J18" t="str">
        <f t="shared" si="0"/>
        <v>2 شهر</v>
      </c>
      <c r="K18" t="s">
        <v>65</v>
      </c>
      <c r="L18" s="6" t="str" cm="1">
        <f t="array" ref="L18:O18">_xlfn.TEXTSPLIT(K18," ")</f>
        <v>إسلام</v>
      </c>
      <c r="M18" t="str">
        <v>عزمي</v>
      </c>
      <c r="N18" t="str">
        <v>عبدالله</v>
      </c>
      <c r="O18" t="str">
        <v>الشورمان</v>
      </c>
    </row>
    <row r="19" spans="1:15" x14ac:dyDescent="0.2">
      <c r="A19">
        <v>2</v>
      </c>
      <c r="B19">
        <v>2000259349</v>
      </c>
      <c r="C19" t="s">
        <v>66</v>
      </c>
      <c r="D19" t="s">
        <v>67</v>
      </c>
      <c r="E19" s="4">
        <v>6990.38</v>
      </c>
      <c r="F19" s="4">
        <v>0</v>
      </c>
      <c r="G19" s="1">
        <v>45550</v>
      </c>
      <c r="H19">
        <v>12</v>
      </c>
      <c r="I19" s="1">
        <v>45798</v>
      </c>
      <c r="J19" t="str">
        <f t="shared" si="0"/>
        <v>12 شهر</v>
      </c>
      <c r="K19" t="s">
        <v>68</v>
      </c>
      <c r="L19" s="6" t="str" cm="1">
        <f t="array" ref="L19:O19">_xlfn.TEXTSPLIT(K19," ")</f>
        <v>مأمون</v>
      </c>
      <c r="M19" t="str">
        <v>محمد</v>
      </c>
      <c r="N19" t="str">
        <v>علي</v>
      </c>
      <c r="O19" t="str">
        <v>جودة</v>
      </c>
    </row>
    <row r="20" spans="1:15" x14ac:dyDescent="0.2">
      <c r="A20">
        <v>2</v>
      </c>
      <c r="B20">
        <v>2000263458</v>
      </c>
      <c r="C20" t="s">
        <v>69</v>
      </c>
      <c r="D20" t="s">
        <v>70</v>
      </c>
      <c r="E20" s="4">
        <v>103.64</v>
      </c>
      <c r="F20" s="4">
        <v>0</v>
      </c>
      <c r="G20" s="1">
        <v>45578</v>
      </c>
      <c r="H20">
        <v>1</v>
      </c>
      <c r="I20" s="1">
        <v>45669</v>
      </c>
      <c r="J20" t="str">
        <f t="shared" si="0"/>
        <v>1 شهر</v>
      </c>
      <c r="K20" t="s">
        <v>71</v>
      </c>
      <c r="L20" s="6" t="str" cm="1">
        <f t="array" ref="L20:O20">_xlfn.TEXTSPLIT(K20," ")</f>
        <v>آيه</v>
      </c>
      <c r="M20" t="str">
        <v>شاكر</v>
      </c>
      <c r="N20" t="str">
        <v>توفيق</v>
      </c>
      <c r="O20" t="str">
        <v>فخوري</v>
      </c>
    </row>
    <row r="21" spans="1:15" x14ac:dyDescent="0.2">
      <c r="A21">
        <v>2</v>
      </c>
      <c r="B21">
        <v>2000293886</v>
      </c>
      <c r="C21" t="s">
        <v>72</v>
      </c>
      <c r="D21" t="s">
        <v>73</v>
      </c>
      <c r="E21" s="4">
        <v>10122.48</v>
      </c>
      <c r="F21" s="4">
        <v>60</v>
      </c>
      <c r="G21" s="1">
        <v>45662</v>
      </c>
      <c r="H21">
        <v>12</v>
      </c>
      <c r="I21" s="5"/>
      <c r="J21" t="str">
        <f t="shared" si="0"/>
        <v>12 شهر</v>
      </c>
      <c r="K21" t="s">
        <v>74</v>
      </c>
      <c r="L21" s="6" t="str" cm="1">
        <f t="array" ref="L21:O21">_xlfn.TEXTSPLIT(K21," ")</f>
        <v>زيد</v>
      </c>
      <c r="M21" t="str">
        <v>ماجد</v>
      </c>
      <c r="N21" t="str">
        <v>عبدالفتاح</v>
      </c>
      <c r="O21" t="str">
        <v>جبري</v>
      </c>
    </row>
    <row r="22" spans="1:15" x14ac:dyDescent="0.2">
      <c r="A22">
        <v>2</v>
      </c>
      <c r="B22">
        <v>2000323201</v>
      </c>
      <c r="C22" t="s">
        <v>75</v>
      </c>
      <c r="D22" t="s">
        <v>76</v>
      </c>
      <c r="E22" s="4">
        <v>1650</v>
      </c>
      <c r="F22" s="4">
        <v>0</v>
      </c>
      <c r="G22" s="1">
        <v>45935</v>
      </c>
      <c r="H22">
        <v>3</v>
      </c>
      <c r="I22" s="5"/>
      <c r="J22" t="str">
        <f t="shared" si="0"/>
        <v>3 شهر</v>
      </c>
      <c r="K22" t="s">
        <v>77</v>
      </c>
      <c r="L22" s="6" t="str" cm="1">
        <f t="array" ref="L22:O22">_xlfn.TEXTSPLIT(K22," ")</f>
        <v>راما</v>
      </c>
      <c r="M22" t="str">
        <v>عيسى</v>
      </c>
      <c r="N22" t="str">
        <v>عواد</v>
      </c>
      <c r="O22" t="str">
        <v>جموه</v>
      </c>
    </row>
    <row r="23" spans="1:15" x14ac:dyDescent="0.2">
      <c r="A23">
        <v>2</v>
      </c>
      <c r="B23">
        <v>2000363474</v>
      </c>
      <c r="C23" t="s">
        <v>78</v>
      </c>
      <c r="D23" t="s">
        <v>79</v>
      </c>
      <c r="E23" s="4">
        <v>8999.75</v>
      </c>
      <c r="F23" s="4">
        <v>0</v>
      </c>
      <c r="G23" s="1">
        <v>45110</v>
      </c>
      <c r="H23">
        <v>12</v>
      </c>
      <c r="I23" s="5"/>
      <c r="J23" t="str">
        <f t="shared" si="0"/>
        <v>12 شهر</v>
      </c>
      <c r="K23" t="s">
        <v>80</v>
      </c>
      <c r="L23" s="6" t="str" cm="1">
        <f t="array" ref="L23:O23">_xlfn.TEXTSPLIT(K23," ")</f>
        <v>جويس</v>
      </c>
      <c r="M23" t="str">
        <v>خليل</v>
      </c>
      <c r="N23" t="str">
        <v>داوود</v>
      </c>
      <c r="O23" t="str">
        <v>عنصره</v>
      </c>
    </row>
    <row r="24" spans="1:15" x14ac:dyDescent="0.2">
      <c r="A24">
        <v>2</v>
      </c>
      <c r="B24">
        <v>2000416338</v>
      </c>
      <c r="C24" t="s">
        <v>81</v>
      </c>
      <c r="D24" t="s">
        <v>82</v>
      </c>
      <c r="E24" s="4">
        <v>5085.25</v>
      </c>
      <c r="F24" s="4">
        <v>0</v>
      </c>
      <c r="G24" s="1">
        <v>45760</v>
      </c>
      <c r="H24">
        <v>9</v>
      </c>
      <c r="I24" s="5"/>
      <c r="J24" t="str">
        <f t="shared" si="0"/>
        <v>9 شهر</v>
      </c>
      <c r="K24" t="s">
        <v>83</v>
      </c>
      <c r="L24" s="6" t="str" cm="1">
        <f t="array" ref="L24:O24">_xlfn.TEXTSPLIT(K24," ")</f>
        <v>سوار</v>
      </c>
      <c r="M24" t="str">
        <v>فواز</v>
      </c>
      <c r="N24" t="str">
        <v>ربحي</v>
      </c>
      <c r="O24" t="str">
        <v>أبوحجله</v>
      </c>
    </row>
    <row r="25" spans="1:15" x14ac:dyDescent="0.2">
      <c r="A25">
        <v>2</v>
      </c>
      <c r="B25">
        <v>2000417432</v>
      </c>
      <c r="C25" t="s">
        <v>84</v>
      </c>
      <c r="D25" t="s">
        <v>85</v>
      </c>
      <c r="E25" s="4">
        <v>900</v>
      </c>
      <c r="F25" s="4">
        <v>7.5</v>
      </c>
      <c r="G25" s="1">
        <v>46005</v>
      </c>
      <c r="H25">
        <v>1</v>
      </c>
      <c r="I25" s="5"/>
      <c r="J25" t="str">
        <f t="shared" si="0"/>
        <v>1 شهر</v>
      </c>
      <c r="K25" t="s">
        <v>86</v>
      </c>
      <c r="L25" s="6" t="str" cm="1">
        <f t="array" ref="L25:O25">_xlfn.TEXTSPLIT(K25," ")</f>
        <v>ميس</v>
      </c>
      <c r="M25" t="str">
        <v>فراس</v>
      </c>
      <c r="N25" t="str">
        <v>عمران</v>
      </c>
      <c r="O25" t="str">
        <v>عباس</v>
      </c>
    </row>
    <row r="26" spans="1:15" x14ac:dyDescent="0.2">
      <c r="A26">
        <v>2</v>
      </c>
      <c r="B26">
        <v>2000420732</v>
      </c>
      <c r="C26" t="s">
        <v>87</v>
      </c>
      <c r="D26" t="s">
        <v>88</v>
      </c>
      <c r="E26" s="4">
        <v>2560.37</v>
      </c>
      <c r="F26" s="4">
        <v>0</v>
      </c>
      <c r="G26" s="1">
        <v>45837</v>
      </c>
      <c r="H26">
        <v>6</v>
      </c>
      <c r="I26" s="1">
        <v>45961</v>
      </c>
      <c r="J26" t="str">
        <f t="shared" si="0"/>
        <v>6 شهر</v>
      </c>
      <c r="K26" t="s">
        <v>89</v>
      </c>
      <c r="L26" s="6" t="str" cm="1">
        <f t="array" ref="L26:O26">_xlfn.TEXTSPLIT(K26," ")</f>
        <v>عمرو</v>
      </c>
      <c r="M26" t="str">
        <v>نيل</v>
      </c>
      <c r="N26" t="str">
        <v>أحمد</v>
      </c>
      <c r="O26" t="str">
        <v>شمرخ</v>
      </c>
    </row>
    <row r="27" spans="1:15" x14ac:dyDescent="0.2">
      <c r="A27">
        <v>2</v>
      </c>
      <c r="B27">
        <v>2000439617</v>
      </c>
      <c r="C27" t="s">
        <v>90</v>
      </c>
      <c r="D27" t="s">
        <v>91</v>
      </c>
      <c r="E27" s="4">
        <v>6959.75</v>
      </c>
      <c r="F27" s="4">
        <v>0</v>
      </c>
      <c r="G27" s="1">
        <v>45620</v>
      </c>
      <c r="H27">
        <v>12</v>
      </c>
      <c r="I27" s="1">
        <v>45759</v>
      </c>
      <c r="J27" t="str">
        <f t="shared" si="0"/>
        <v>12 شهر</v>
      </c>
      <c r="K27" t="s">
        <v>92</v>
      </c>
      <c r="L27" s="6" t="str" cm="1">
        <f t="array" ref="L27:O27">_xlfn.TEXTSPLIT(K27," ")</f>
        <v>عمر</v>
      </c>
      <c r="M27" t="str">
        <v>أديب</v>
      </c>
      <c r="N27" t="str">
        <v>محمد</v>
      </c>
      <c r="O27" t="str">
        <v>غنايم</v>
      </c>
    </row>
    <row r="28" spans="1:15" x14ac:dyDescent="0.2">
      <c r="A28">
        <v>2</v>
      </c>
      <c r="B28">
        <v>2000478963</v>
      </c>
      <c r="C28" t="s">
        <v>93</v>
      </c>
      <c r="D28" t="s">
        <v>94</v>
      </c>
      <c r="E28" s="4">
        <v>8400.25</v>
      </c>
      <c r="F28" s="4">
        <v>0</v>
      </c>
      <c r="G28" s="1">
        <v>45375</v>
      </c>
      <c r="H28">
        <v>12</v>
      </c>
      <c r="I28" s="5"/>
      <c r="J28" t="str">
        <f t="shared" si="0"/>
        <v>12 شهر</v>
      </c>
      <c r="K28" t="s">
        <v>95</v>
      </c>
      <c r="L28" s="6" t="str" cm="1">
        <f t="array" ref="L28:O28">_xlfn.TEXTSPLIT(K28," ")</f>
        <v>راما</v>
      </c>
      <c r="M28" t="str">
        <v>أمجد</v>
      </c>
      <c r="N28" t="str">
        <v>عزيز</v>
      </c>
      <c r="O28" t="str">
        <v>الصوالحه</v>
      </c>
    </row>
    <row r="29" spans="1:15" x14ac:dyDescent="0.2">
      <c r="A29">
        <v>2</v>
      </c>
      <c r="B29">
        <v>2000485800</v>
      </c>
      <c r="C29" t="s">
        <v>96</v>
      </c>
      <c r="D29" t="s">
        <v>97</v>
      </c>
      <c r="E29" s="4">
        <v>6711.25</v>
      </c>
      <c r="F29" s="4">
        <v>0</v>
      </c>
      <c r="G29" s="1">
        <v>45620</v>
      </c>
      <c r="H29">
        <v>12</v>
      </c>
      <c r="I29" s="1">
        <v>45773</v>
      </c>
      <c r="J29" t="str">
        <f t="shared" si="0"/>
        <v>12 شهر</v>
      </c>
      <c r="K29" t="s">
        <v>98</v>
      </c>
      <c r="L29" s="6" t="str" cm="1">
        <f t="array" ref="L29:O29">_xlfn.TEXTSPLIT(K29," ")</f>
        <v>سارة</v>
      </c>
      <c r="M29" t="str">
        <v>عبدالرحمن</v>
      </c>
      <c r="N29" t="str">
        <v>سليمان</v>
      </c>
      <c r="O29" t="str">
        <v>خريم</v>
      </c>
    </row>
    <row r="30" spans="1:15" x14ac:dyDescent="0.2">
      <c r="A30">
        <v>2</v>
      </c>
      <c r="B30">
        <v>2000486079</v>
      </c>
      <c r="C30" t="s">
        <v>99</v>
      </c>
      <c r="D30" t="s">
        <v>100</v>
      </c>
      <c r="E30" s="4">
        <v>4428.08</v>
      </c>
      <c r="F30" s="4">
        <v>0</v>
      </c>
      <c r="G30" s="1">
        <v>45704</v>
      </c>
      <c r="H30">
        <v>11</v>
      </c>
      <c r="I30" s="1">
        <v>45882</v>
      </c>
      <c r="J30" t="str">
        <f t="shared" si="0"/>
        <v>11 شهر</v>
      </c>
      <c r="K30" t="s">
        <v>101</v>
      </c>
      <c r="L30" s="6" t="str" cm="1">
        <f t="array" ref="L30:O30">_xlfn.TEXTSPLIT(K30," ")</f>
        <v>إياس</v>
      </c>
      <c r="M30" t="str">
        <v>إسحاق</v>
      </c>
      <c r="N30" t="str">
        <v>عطالله</v>
      </c>
      <c r="O30" t="str">
        <v>المشايخ</v>
      </c>
    </row>
    <row r="31" spans="1:15" x14ac:dyDescent="0.2">
      <c r="A31">
        <v>2</v>
      </c>
      <c r="B31">
        <v>2000500710</v>
      </c>
      <c r="C31" t="s">
        <v>102</v>
      </c>
      <c r="D31" t="s">
        <v>103</v>
      </c>
      <c r="E31" s="4">
        <v>4428.08</v>
      </c>
      <c r="F31" s="4">
        <v>0</v>
      </c>
      <c r="G31" s="1">
        <v>45704</v>
      </c>
      <c r="H31">
        <v>11</v>
      </c>
      <c r="I31" s="1">
        <v>45882</v>
      </c>
      <c r="J31" t="str">
        <f t="shared" si="0"/>
        <v>11 شهر</v>
      </c>
      <c r="K31" t="s">
        <v>104</v>
      </c>
      <c r="L31" s="6" t="str" cm="1">
        <f t="array" ref="L31:O31">_xlfn.TEXTSPLIT(K31," ")</f>
        <v>نور</v>
      </c>
      <c r="M31" t="str">
        <v>محمود</v>
      </c>
      <c r="N31" t="str">
        <v>محمد</v>
      </c>
      <c r="O31" t="str">
        <v>شديد</v>
      </c>
    </row>
    <row r="32" spans="1:15" x14ac:dyDescent="0.2">
      <c r="A32">
        <v>2</v>
      </c>
      <c r="B32">
        <v>2000504482</v>
      </c>
      <c r="C32" t="s">
        <v>105</v>
      </c>
      <c r="D32" t="s">
        <v>106</v>
      </c>
      <c r="E32" s="4">
        <v>7000</v>
      </c>
      <c r="F32" s="4">
        <v>87.5</v>
      </c>
      <c r="G32" s="1">
        <v>45313</v>
      </c>
      <c r="H32">
        <v>7</v>
      </c>
      <c r="I32" s="1">
        <v>45890</v>
      </c>
      <c r="J32" t="str">
        <f t="shared" si="0"/>
        <v>7 شهر</v>
      </c>
      <c r="K32" t="s">
        <v>107</v>
      </c>
      <c r="L32" s="6" t="str" cm="1">
        <f t="array" ref="L32:O32">_xlfn.TEXTSPLIT(K32," ")</f>
        <v>رازان</v>
      </c>
      <c r="M32" t="str">
        <v>أوس</v>
      </c>
      <c r="N32" t="str">
        <v>حرب</v>
      </c>
      <c r="O32" t="str">
        <v>محسن</v>
      </c>
    </row>
    <row r="33" spans="1:15" x14ac:dyDescent="0.2">
      <c r="A33">
        <v>2</v>
      </c>
      <c r="B33">
        <v>2000505363</v>
      </c>
      <c r="C33" t="s">
        <v>108</v>
      </c>
      <c r="D33" t="s">
        <v>109</v>
      </c>
      <c r="E33" s="4">
        <v>3214.25</v>
      </c>
      <c r="F33" s="4">
        <v>0</v>
      </c>
      <c r="G33" s="1">
        <v>45893</v>
      </c>
      <c r="H33">
        <v>4</v>
      </c>
      <c r="I33" s="5"/>
      <c r="J33" t="str">
        <f t="shared" si="0"/>
        <v>4 شهر</v>
      </c>
      <c r="K33" t="s">
        <v>110</v>
      </c>
      <c r="L33" s="6" t="str" cm="1">
        <f t="array" ref="L33:O33">_xlfn.TEXTSPLIT(K33," ")</f>
        <v>خليل</v>
      </c>
      <c r="M33" t="str">
        <v>نضال</v>
      </c>
      <c r="N33" t="str">
        <v>خليل</v>
      </c>
      <c r="O33" t="str">
        <v>قتاونه</v>
      </c>
    </row>
    <row r="34" spans="1:15" x14ac:dyDescent="0.2">
      <c r="A34">
        <v>2</v>
      </c>
      <c r="B34">
        <v>2000509787</v>
      </c>
      <c r="C34" t="s">
        <v>111</v>
      </c>
      <c r="D34" t="s">
        <v>112</v>
      </c>
      <c r="E34" s="4">
        <v>4937.67</v>
      </c>
      <c r="F34" s="4">
        <v>0</v>
      </c>
      <c r="G34" s="1">
        <v>45690</v>
      </c>
      <c r="H34">
        <v>11</v>
      </c>
      <c r="I34" s="1">
        <v>45869</v>
      </c>
      <c r="J34" t="str">
        <f t="shared" si="0"/>
        <v>11 شهر</v>
      </c>
      <c r="K34" t="s">
        <v>113</v>
      </c>
      <c r="L34" s="6" t="str" cm="1">
        <f t="array" ref="L34:O34">_xlfn.TEXTSPLIT(K34," ")</f>
        <v>محمد</v>
      </c>
      <c r="M34" t="str">
        <v>مروان</v>
      </c>
      <c r="N34" t="str">
        <v>محمد</v>
      </c>
      <c r="O34" t="str">
        <v>غانم</v>
      </c>
    </row>
    <row r="35" spans="1:15" x14ac:dyDescent="0.2">
      <c r="A35">
        <v>2</v>
      </c>
      <c r="B35">
        <v>2000515645</v>
      </c>
      <c r="C35" t="s">
        <v>114</v>
      </c>
      <c r="D35" t="s">
        <v>115</v>
      </c>
      <c r="E35" s="4">
        <v>6990.38</v>
      </c>
      <c r="F35" s="4">
        <v>0</v>
      </c>
      <c r="G35" s="1">
        <v>45550</v>
      </c>
      <c r="H35">
        <v>12</v>
      </c>
      <c r="I35" s="1">
        <v>45798</v>
      </c>
      <c r="J35" t="str">
        <f t="shared" si="0"/>
        <v>12 شهر</v>
      </c>
      <c r="K35" t="s">
        <v>116</v>
      </c>
      <c r="L35" s="6" t="str" cm="1">
        <f t="array" ref="L35:O35">_xlfn.TEXTSPLIT(K35," ")</f>
        <v>عبدالله</v>
      </c>
      <c r="M35" t="str">
        <v>محمد</v>
      </c>
      <c r="N35" t="str">
        <v>غالب</v>
      </c>
      <c r="O35" t="str">
        <v>سنترسي</v>
      </c>
    </row>
    <row r="36" spans="1:15" x14ac:dyDescent="0.2">
      <c r="A36">
        <v>2</v>
      </c>
      <c r="B36">
        <v>2000523303</v>
      </c>
      <c r="C36" t="s">
        <v>117</v>
      </c>
      <c r="D36" t="s">
        <v>118</v>
      </c>
      <c r="E36" s="4">
        <v>6990.38</v>
      </c>
      <c r="F36" s="4">
        <v>0</v>
      </c>
      <c r="G36" s="1">
        <v>45550</v>
      </c>
      <c r="H36">
        <v>12</v>
      </c>
      <c r="I36" s="1">
        <v>45798</v>
      </c>
      <c r="J36" t="str">
        <f t="shared" si="0"/>
        <v>12 شهر</v>
      </c>
      <c r="K36" t="s">
        <v>119</v>
      </c>
      <c r="L36" s="6" t="str" cm="1">
        <f t="array" ref="L36:O36">_xlfn.TEXTSPLIT(K36," ")</f>
        <v>أحمد</v>
      </c>
      <c r="M36" t="str">
        <v>فداء</v>
      </c>
      <c r="N36" t="str">
        <v>أحمد</v>
      </c>
      <c r="O36" t="str">
        <v>خلاد</v>
      </c>
    </row>
    <row r="37" spans="1:15" x14ac:dyDescent="0.2">
      <c r="A37">
        <v>2</v>
      </c>
      <c r="B37">
        <v>2000527737</v>
      </c>
      <c r="C37" t="s">
        <v>120</v>
      </c>
      <c r="D37" t="s">
        <v>121</v>
      </c>
      <c r="E37" s="4">
        <v>4428.08</v>
      </c>
      <c r="F37" s="4">
        <v>0</v>
      </c>
      <c r="G37" s="1">
        <v>45704</v>
      </c>
      <c r="H37">
        <v>11</v>
      </c>
      <c r="I37" s="1">
        <v>45882</v>
      </c>
      <c r="J37" t="str">
        <f t="shared" si="0"/>
        <v>11 شهر</v>
      </c>
      <c r="K37" t="s">
        <v>122</v>
      </c>
      <c r="L37" s="6" t="str" cm="1">
        <f t="array" ref="L37:O37">_xlfn.TEXTSPLIT(K37," ")</f>
        <v>نور</v>
      </c>
      <c r="M37" t="str">
        <v>بسام</v>
      </c>
      <c r="N37" t="str">
        <v>سالم</v>
      </c>
      <c r="O37" t="str">
        <v>الحريشه</v>
      </c>
    </row>
    <row r="38" spans="1:15" x14ac:dyDescent="0.2">
      <c r="A38">
        <v>2</v>
      </c>
      <c r="B38">
        <v>2000533050</v>
      </c>
      <c r="C38" t="s">
        <v>123</v>
      </c>
      <c r="D38" t="s">
        <v>124</v>
      </c>
      <c r="E38" s="4">
        <v>8177.77</v>
      </c>
      <c r="F38" s="4">
        <v>0</v>
      </c>
      <c r="G38" s="1">
        <v>45669</v>
      </c>
      <c r="H38">
        <v>12</v>
      </c>
      <c r="I38" s="5"/>
      <c r="J38" t="str">
        <f t="shared" si="0"/>
        <v>12 شهر</v>
      </c>
      <c r="K38" t="s">
        <v>125</v>
      </c>
      <c r="L38" s="6" t="str" cm="1">
        <f t="array" ref="L38:O38">_xlfn.TEXTSPLIT(K38," ")</f>
        <v>عمر</v>
      </c>
      <c r="M38" t="str">
        <v>كمال</v>
      </c>
      <c r="N38" t="str">
        <v>سالم</v>
      </c>
      <c r="O38" t="str">
        <v>أبوعساف</v>
      </c>
    </row>
    <row r="39" spans="1:15" x14ac:dyDescent="0.2">
      <c r="A39">
        <v>2</v>
      </c>
      <c r="B39">
        <v>2000534823</v>
      </c>
      <c r="C39" t="s">
        <v>126</v>
      </c>
      <c r="D39" t="s">
        <v>127</v>
      </c>
      <c r="E39" s="4">
        <v>1015</v>
      </c>
      <c r="F39" s="4">
        <v>0</v>
      </c>
      <c r="G39" s="1">
        <v>45704</v>
      </c>
      <c r="H39">
        <v>4</v>
      </c>
      <c r="I39" s="1">
        <v>45824</v>
      </c>
      <c r="J39" t="str">
        <f t="shared" si="0"/>
        <v>4 شهر</v>
      </c>
      <c r="K39" t="s">
        <v>128</v>
      </c>
      <c r="L39" s="6" t="str" cm="1">
        <f t="array" ref="L39:O39">_xlfn.TEXTSPLIT(K39," ")</f>
        <v>بانا</v>
      </c>
      <c r="M39" t="str">
        <v>خالد</v>
      </c>
      <c r="N39" t="str">
        <v>سلمان</v>
      </c>
      <c r="O39" t="str">
        <v>الهواديه</v>
      </c>
    </row>
    <row r="40" spans="1:15" x14ac:dyDescent="0.2">
      <c r="A40">
        <v>2</v>
      </c>
      <c r="B40">
        <v>2000546107</v>
      </c>
      <c r="C40" t="s">
        <v>129</v>
      </c>
      <c r="D40" t="s">
        <v>130</v>
      </c>
      <c r="E40" s="4">
        <v>1160</v>
      </c>
      <c r="F40" s="4">
        <v>0</v>
      </c>
      <c r="G40" s="1">
        <v>45599</v>
      </c>
      <c r="H40">
        <v>4</v>
      </c>
      <c r="I40" s="1">
        <v>45787</v>
      </c>
      <c r="J40" t="str">
        <f t="shared" si="0"/>
        <v>4 شهر</v>
      </c>
      <c r="K40" t="s">
        <v>131</v>
      </c>
      <c r="L40" s="6" t="str" cm="1">
        <f t="array" ref="L40:O40">_xlfn.TEXTSPLIT(K40," ")</f>
        <v>ندى</v>
      </c>
      <c r="M40" t="str">
        <v>عبدالرحمن</v>
      </c>
      <c r="N40" t="str">
        <v>سليمان</v>
      </c>
      <c r="O40" t="str">
        <v>أبوكشك</v>
      </c>
    </row>
    <row r="41" spans="1:15" x14ac:dyDescent="0.2">
      <c r="A41">
        <v>2</v>
      </c>
      <c r="B41">
        <v>2000562279</v>
      </c>
      <c r="C41" t="s">
        <v>132</v>
      </c>
      <c r="D41" t="s">
        <v>133</v>
      </c>
      <c r="E41" s="4">
        <v>435</v>
      </c>
      <c r="F41" s="4">
        <v>0</v>
      </c>
      <c r="G41" s="1">
        <v>45704</v>
      </c>
      <c r="H41">
        <v>2</v>
      </c>
      <c r="I41" s="1">
        <v>45755</v>
      </c>
      <c r="J41" t="str">
        <f t="shared" si="0"/>
        <v>2 شهر</v>
      </c>
      <c r="K41" t="s">
        <v>134</v>
      </c>
      <c r="L41" s="6" t="str" cm="1">
        <f t="array" ref="L41:O41">_xlfn.TEXTSPLIT(K41," ")</f>
        <v>مروان</v>
      </c>
      <c r="M41" t="str">
        <v>خالد</v>
      </c>
      <c r="N41" t="str">
        <v>وليد</v>
      </c>
      <c r="O41" t="str">
        <v>المورلي</v>
      </c>
    </row>
    <row r="42" spans="1:15" x14ac:dyDescent="0.2">
      <c r="A42">
        <v>2</v>
      </c>
      <c r="B42">
        <v>2000566818</v>
      </c>
      <c r="C42" t="s">
        <v>135</v>
      </c>
      <c r="D42" t="s">
        <v>136</v>
      </c>
      <c r="E42" s="4">
        <v>6600.25</v>
      </c>
      <c r="F42" s="4">
        <v>0</v>
      </c>
      <c r="G42" s="1">
        <v>45473</v>
      </c>
      <c r="H42">
        <v>12</v>
      </c>
      <c r="I42" s="5"/>
      <c r="J42" t="str">
        <f t="shared" si="0"/>
        <v>12 شهر</v>
      </c>
      <c r="K42" t="s">
        <v>137</v>
      </c>
      <c r="L42" s="6" t="str" cm="1">
        <f t="array" ref="L42:O42">_xlfn.TEXTSPLIT(K42," ")</f>
        <v>لانا</v>
      </c>
      <c r="M42" t="str">
        <v>أيمن</v>
      </c>
      <c r="N42" t="str">
        <v>أحمد</v>
      </c>
      <c r="O42" t="str">
        <v>زامل</v>
      </c>
    </row>
    <row r="43" spans="1:15" x14ac:dyDescent="0.2">
      <c r="A43">
        <v>2</v>
      </c>
      <c r="B43">
        <v>2000567373</v>
      </c>
      <c r="C43" t="s">
        <v>138</v>
      </c>
      <c r="D43" t="s">
        <v>139</v>
      </c>
      <c r="E43" s="4">
        <v>1000</v>
      </c>
      <c r="F43" s="4">
        <v>12.5</v>
      </c>
      <c r="G43" s="1">
        <v>45984</v>
      </c>
      <c r="H43">
        <v>1</v>
      </c>
      <c r="I43" s="5"/>
      <c r="J43" t="str">
        <f t="shared" si="0"/>
        <v>1 شهر</v>
      </c>
      <c r="K43" t="s">
        <v>140</v>
      </c>
      <c r="L43" s="6" t="str" cm="1">
        <f t="array" ref="L43:O43">_xlfn.TEXTSPLIT(K43," ")</f>
        <v>محمد</v>
      </c>
      <c r="M43" t="str">
        <v>طراد</v>
      </c>
      <c r="N43" t="str">
        <v>فهمي</v>
      </c>
      <c r="O43" t="str">
        <v>الفقهاء</v>
      </c>
    </row>
    <row r="44" spans="1:15" x14ac:dyDescent="0.2">
      <c r="A44">
        <v>2</v>
      </c>
      <c r="B44">
        <v>2000586202</v>
      </c>
      <c r="C44" t="s">
        <v>141</v>
      </c>
      <c r="D44" t="s">
        <v>142</v>
      </c>
      <c r="E44" s="4">
        <v>12000.5</v>
      </c>
      <c r="F44" s="4">
        <v>156</v>
      </c>
      <c r="G44" s="1">
        <v>45473</v>
      </c>
      <c r="H44">
        <v>12</v>
      </c>
      <c r="I44" s="5"/>
      <c r="J44" t="str">
        <f t="shared" si="0"/>
        <v>12 شهر</v>
      </c>
      <c r="K44" t="s">
        <v>143</v>
      </c>
      <c r="L44" s="6" t="str" cm="1">
        <f t="array" ref="L44:O44">_xlfn.TEXTSPLIT(K44," ")</f>
        <v>فارس</v>
      </c>
      <c r="M44" t="str">
        <v>مامون</v>
      </c>
      <c r="N44" t="str">
        <v>عبدالجبار</v>
      </c>
      <c r="O44" t="str">
        <v>القواسمي</v>
      </c>
    </row>
    <row r="45" spans="1:15" x14ac:dyDescent="0.2">
      <c r="A45">
        <v>2</v>
      </c>
      <c r="B45">
        <v>2000605725</v>
      </c>
      <c r="C45" t="s">
        <v>144</v>
      </c>
      <c r="D45" t="s">
        <v>145</v>
      </c>
      <c r="E45" s="4">
        <v>290</v>
      </c>
      <c r="F45" s="4">
        <v>0</v>
      </c>
      <c r="G45" s="1">
        <v>46012</v>
      </c>
      <c r="H45">
        <v>1</v>
      </c>
      <c r="I45" s="5"/>
      <c r="J45" t="str">
        <f t="shared" si="0"/>
        <v>1 شهر</v>
      </c>
      <c r="K45" t="s">
        <v>146</v>
      </c>
      <c r="L45" s="6" t="str" cm="1">
        <f t="array" ref="L45:O45">_xlfn.TEXTSPLIT(K45," ")</f>
        <v>دنا</v>
      </c>
      <c r="M45" t="str">
        <v>وليد</v>
      </c>
      <c r="N45" t="str">
        <v>خالد</v>
      </c>
      <c r="O45" t="str">
        <v>العامري</v>
      </c>
    </row>
    <row r="46" spans="1:15" x14ac:dyDescent="0.2">
      <c r="A46">
        <v>2</v>
      </c>
      <c r="B46">
        <v>2000627339</v>
      </c>
      <c r="C46" t="s">
        <v>147</v>
      </c>
      <c r="D46" t="s">
        <v>148</v>
      </c>
      <c r="E46" s="4">
        <v>290</v>
      </c>
      <c r="F46" s="4">
        <v>0</v>
      </c>
      <c r="G46" s="1">
        <v>45963</v>
      </c>
      <c r="H46">
        <v>1</v>
      </c>
      <c r="I46" s="5"/>
      <c r="J46" t="str">
        <f t="shared" si="0"/>
        <v>1 شهر</v>
      </c>
      <c r="K46" t="s">
        <v>149</v>
      </c>
      <c r="L46" s="6" t="str" cm="1">
        <f t="array" ref="L46:O46">_xlfn.TEXTSPLIT(K46," ")</f>
        <v>كريم</v>
      </c>
      <c r="M46" t="str">
        <v>شريف</v>
      </c>
      <c r="N46" t="str">
        <v>خلوق</v>
      </c>
      <c r="O46" t="str">
        <v>حجازي</v>
      </c>
    </row>
    <row r="47" spans="1:15" x14ac:dyDescent="0.2">
      <c r="A47">
        <v>2</v>
      </c>
      <c r="B47">
        <v>2000648694</v>
      </c>
      <c r="C47" t="s">
        <v>150</v>
      </c>
      <c r="D47" t="s">
        <v>151</v>
      </c>
      <c r="E47" s="4">
        <v>8177.77</v>
      </c>
      <c r="F47" s="4">
        <v>0</v>
      </c>
      <c r="G47" s="1">
        <v>45669</v>
      </c>
      <c r="H47">
        <v>12</v>
      </c>
      <c r="I47" s="5"/>
      <c r="J47" t="str">
        <f t="shared" si="0"/>
        <v>12 شهر</v>
      </c>
      <c r="K47" t="s">
        <v>152</v>
      </c>
      <c r="L47" s="6" t="str" cm="1">
        <f t="array" ref="L47:O47">_xlfn.TEXTSPLIT(K47," ")</f>
        <v>زيد</v>
      </c>
      <c r="M47" t="str">
        <v>إيهاب</v>
      </c>
      <c r="N47" t="str">
        <v>يوسف</v>
      </c>
      <c r="O47" t="str">
        <v>خريس</v>
      </c>
    </row>
    <row r="48" spans="1:15" x14ac:dyDescent="0.2">
      <c r="A48">
        <v>2</v>
      </c>
      <c r="B48">
        <v>2000675316</v>
      </c>
      <c r="C48" t="s">
        <v>153</v>
      </c>
      <c r="D48" t="s">
        <v>154</v>
      </c>
      <c r="E48" s="4">
        <v>2571</v>
      </c>
      <c r="F48" s="4">
        <v>0</v>
      </c>
      <c r="G48" s="1">
        <v>45893</v>
      </c>
      <c r="H48">
        <v>4</v>
      </c>
      <c r="I48" s="5"/>
      <c r="J48" t="str">
        <f t="shared" si="0"/>
        <v>4 شهر</v>
      </c>
      <c r="K48" t="s">
        <v>155</v>
      </c>
      <c r="L48" s="6" t="str" cm="1">
        <f t="array" ref="L48:O48">_xlfn.TEXTSPLIT(K48," ")</f>
        <v>تالا</v>
      </c>
      <c r="M48" t="str">
        <v>عيسى</v>
      </c>
      <c r="N48" t="str">
        <v>خليل</v>
      </c>
      <c r="O48" t="str">
        <v>قايش</v>
      </c>
    </row>
    <row r="49" spans="1:16" x14ac:dyDescent="0.2">
      <c r="A49">
        <v>2</v>
      </c>
      <c r="B49">
        <v>2000682439</v>
      </c>
      <c r="C49" t="s">
        <v>156</v>
      </c>
      <c r="D49" t="s">
        <v>157</v>
      </c>
      <c r="E49" s="4">
        <v>4200.5</v>
      </c>
      <c r="F49" s="4">
        <v>0</v>
      </c>
      <c r="G49" s="1">
        <v>45837</v>
      </c>
      <c r="H49">
        <v>6</v>
      </c>
      <c r="I49" s="5"/>
      <c r="J49" t="str">
        <f t="shared" si="0"/>
        <v>6 شهر</v>
      </c>
      <c r="K49" t="s">
        <v>158</v>
      </c>
      <c r="L49" s="6" t="str" cm="1">
        <f t="array" ref="L49:P49">_xlfn.TEXTSPLIT(K49," ")</f>
        <v>آيه</v>
      </c>
      <c r="M49" t="str">
        <v>معتصم</v>
      </c>
      <c r="N49" t="str">
        <v>صلاح</v>
      </c>
      <c r="O49" t="str">
        <v>الدين</v>
      </c>
      <c r="P49" t="str">
        <v>عموص</v>
      </c>
    </row>
    <row r="50" spans="1:16" x14ac:dyDescent="0.2">
      <c r="A50">
        <v>2</v>
      </c>
      <c r="B50">
        <v>2000711607</v>
      </c>
      <c r="C50" t="s">
        <v>159</v>
      </c>
      <c r="D50" t="s">
        <v>160</v>
      </c>
      <c r="E50" s="4">
        <v>1840.7</v>
      </c>
      <c r="F50" s="4">
        <v>0</v>
      </c>
      <c r="G50" s="1">
        <v>45879</v>
      </c>
      <c r="H50">
        <v>5</v>
      </c>
      <c r="I50" s="1">
        <v>45998</v>
      </c>
      <c r="J50" t="str">
        <f t="shared" si="0"/>
        <v>5 شهر</v>
      </c>
      <c r="K50" t="s">
        <v>161</v>
      </c>
      <c r="L50" s="6" t="str" cm="1">
        <f t="array" ref="L50:O50">_xlfn.TEXTSPLIT(K50," ")</f>
        <v>حمزة</v>
      </c>
      <c r="M50" t="str">
        <v>نعيم</v>
      </c>
      <c r="N50" t="str">
        <v>إسماعيل</v>
      </c>
      <c r="O50" t="str">
        <v>المصري</v>
      </c>
    </row>
    <row r="51" spans="1:16" x14ac:dyDescent="0.2">
      <c r="A51">
        <v>2</v>
      </c>
      <c r="B51">
        <v>2000770613</v>
      </c>
      <c r="C51" t="s">
        <v>162</v>
      </c>
      <c r="D51" t="s">
        <v>163</v>
      </c>
      <c r="E51" s="4">
        <v>850</v>
      </c>
      <c r="F51" s="4">
        <v>5</v>
      </c>
      <c r="G51" s="1">
        <v>46005</v>
      </c>
      <c r="H51">
        <v>1</v>
      </c>
      <c r="I51" s="5"/>
      <c r="J51" t="str">
        <f t="shared" si="0"/>
        <v>1 شهر</v>
      </c>
      <c r="K51" t="s">
        <v>164</v>
      </c>
      <c r="L51" s="6" t="str" cm="1">
        <f t="array" ref="L51:O51">_xlfn.TEXTSPLIT(K51," ")</f>
        <v>سدين</v>
      </c>
      <c r="M51" t="str">
        <v>إياد</v>
      </c>
      <c r="N51" t="str">
        <v>سليمان</v>
      </c>
      <c r="O51" t="str">
        <v>الأدهم</v>
      </c>
    </row>
    <row r="52" spans="1:16" x14ac:dyDescent="0.2">
      <c r="A52">
        <v>2</v>
      </c>
      <c r="B52">
        <v>2000841477</v>
      </c>
      <c r="C52" t="s">
        <v>165</v>
      </c>
      <c r="D52" t="s">
        <v>166</v>
      </c>
      <c r="E52" s="7">
        <v>1595</v>
      </c>
      <c r="F52" s="7">
        <v>0</v>
      </c>
      <c r="G52" s="1">
        <v>45704</v>
      </c>
      <c r="H52" s="8">
        <v>6</v>
      </c>
      <c r="I52" s="1">
        <v>45859</v>
      </c>
      <c r="J52" t="str">
        <f t="shared" si="0"/>
        <v>6 شهر</v>
      </c>
      <c r="K52" t="s">
        <v>167</v>
      </c>
      <c r="L52" s="6" t="str" cm="1">
        <f t="array" ref="L52:O52">_xlfn.TEXTSPLIT(K52," ")</f>
        <v>لمى</v>
      </c>
      <c r="M52" t="str">
        <v>رياض</v>
      </c>
      <c r="N52" t="str">
        <v>صبري</v>
      </c>
      <c r="O52" t="str">
        <v>عينبوسي</v>
      </c>
    </row>
    <row r="53" spans="1:16" x14ac:dyDescent="0.2">
      <c r="A53">
        <v>2</v>
      </c>
      <c r="B53">
        <v>2001001801</v>
      </c>
      <c r="C53" t="s">
        <v>168</v>
      </c>
      <c r="D53" t="s">
        <v>169</v>
      </c>
      <c r="E53" s="4">
        <v>4428.08</v>
      </c>
      <c r="F53" s="4">
        <v>0</v>
      </c>
      <c r="G53" s="1">
        <v>45704</v>
      </c>
      <c r="H53">
        <v>11</v>
      </c>
      <c r="I53" s="1">
        <v>45882</v>
      </c>
      <c r="J53" t="str">
        <f t="shared" si="0"/>
        <v>11 شهر</v>
      </c>
      <c r="K53" t="s">
        <v>170</v>
      </c>
      <c r="L53" s="6" t="str" cm="1">
        <f t="array" ref="L53:O53">_xlfn.TEXTSPLIT(K53," ")</f>
        <v>إبراهيم</v>
      </c>
      <c r="M53" t="str">
        <v>أحمد</v>
      </c>
      <c r="N53" t="str">
        <v>توفيق</v>
      </c>
      <c r="O53" t="str">
        <v>محمد</v>
      </c>
    </row>
    <row r="54" spans="1:16" x14ac:dyDescent="0.2">
      <c r="A54">
        <v>2</v>
      </c>
      <c r="B54">
        <v>2001092202</v>
      </c>
      <c r="C54" t="s">
        <v>171</v>
      </c>
      <c r="D54" t="s">
        <v>172</v>
      </c>
      <c r="E54" s="4">
        <v>2559.75</v>
      </c>
      <c r="F54" s="4">
        <v>0</v>
      </c>
      <c r="G54" s="1">
        <v>45830</v>
      </c>
      <c r="H54">
        <v>6</v>
      </c>
      <c r="I54" s="1">
        <v>45961</v>
      </c>
      <c r="J54" t="str">
        <f t="shared" si="0"/>
        <v>6 شهر</v>
      </c>
      <c r="K54" t="s">
        <v>173</v>
      </c>
      <c r="L54" s="6" t="str" cm="1">
        <f t="array" ref="L54:O54">_xlfn.TEXTSPLIT(K54," ")</f>
        <v>محمد</v>
      </c>
      <c r="M54" t="str">
        <v>حسين</v>
      </c>
      <c r="N54" t="str">
        <v>إسماعيل</v>
      </c>
      <c r="O54" t="str">
        <v>أبوعريضة</v>
      </c>
    </row>
    <row r="55" spans="1:16" x14ac:dyDescent="0.2">
      <c r="A55">
        <v>2</v>
      </c>
      <c r="B55">
        <v>2001103136</v>
      </c>
      <c r="C55" t="s">
        <v>174</v>
      </c>
      <c r="D55" t="s">
        <v>175</v>
      </c>
      <c r="E55" s="4">
        <v>8400.5</v>
      </c>
      <c r="F55" s="4">
        <v>0</v>
      </c>
      <c r="G55" s="1">
        <v>45536</v>
      </c>
      <c r="H55">
        <v>12</v>
      </c>
      <c r="I55" s="5"/>
      <c r="J55" t="str">
        <f t="shared" si="0"/>
        <v>12 شهر</v>
      </c>
      <c r="K55" t="s">
        <v>176</v>
      </c>
      <c r="L55" s="6" t="str" cm="1">
        <f t="array" ref="L55:O55">_xlfn.TEXTSPLIT(K55," ")</f>
        <v>حنين</v>
      </c>
      <c r="M55" t="str">
        <v>محمد</v>
      </c>
      <c r="N55" t="str">
        <v>دياب</v>
      </c>
      <c r="O55" t="str">
        <v>عمران</v>
      </c>
    </row>
    <row r="56" spans="1:16" x14ac:dyDescent="0.2">
      <c r="A56">
        <v>2</v>
      </c>
      <c r="B56">
        <v>2001258386</v>
      </c>
      <c r="C56" t="s">
        <v>177</v>
      </c>
      <c r="D56" t="s">
        <v>178</v>
      </c>
      <c r="E56" s="4">
        <v>12000.5</v>
      </c>
      <c r="F56" s="4">
        <v>156</v>
      </c>
      <c r="G56" s="1">
        <v>45313</v>
      </c>
      <c r="H56">
        <v>12</v>
      </c>
      <c r="I56" s="5"/>
      <c r="J56" t="str">
        <f t="shared" si="0"/>
        <v>12 شهر</v>
      </c>
      <c r="K56" t="s">
        <v>179</v>
      </c>
      <c r="L56" s="6" t="str" cm="1">
        <f t="array" ref="L56:O56">_xlfn.TEXTSPLIT(K56," ")</f>
        <v>إبراهيم</v>
      </c>
      <c r="M56" t="str">
        <v>جمال</v>
      </c>
      <c r="N56" t="str">
        <v>سليمان</v>
      </c>
      <c r="O56" t="str">
        <v>عطية</v>
      </c>
    </row>
    <row r="57" spans="1:16" x14ac:dyDescent="0.2">
      <c r="A57">
        <v>2</v>
      </c>
      <c r="B57">
        <v>2001283223</v>
      </c>
      <c r="C57" t="s">
        <v>180</v>
      </c>
      <c r="D57" t="s">
        <v>181</v>
      </c>
      <c r="E57" s="4">
        <v>13200</v>
      </c>
      <c r="F57" s="4">
        <v>210</v>
      </c>
      <c r="G57" s="1">
        <v>44885</v>
      </c>
      <c r="H57">
        <v>12</v>
      </c>
      <c r="I57" s="5"/>
      <c r="J57" t="str">
        <f t="shared" si="0"/>
        <v>12 شهر</v>
      </c>
      <c r="K57" t="s">
        <v>182</v>
      </c>
      <c r="L57" s="6" t="str" cm="1">
        <f t="array" ref="L57:O57">_xlfn.TEXTSPLIT(K57," ")</f>
        <v>بيان</v>
      </c>
      <c r="M57" t="str">
        <v>زكي</v>
      </c>
      <c r="N57" t="str">
        <v>محمد</v>
      </c>
      <c r="O57" t="str">
        <v>ظاهر</v>
      </c>
    </row>
    <row r="58" spans="1:16" x14ac:dyDescent="0.2">
      <c r="A58">
        <v>3</v>
      </c>
      <c r="B58">
        <v>4021141100</v>
      </c>
      <c r="C58" t="s">
        <v>183</v>
      </c>
      <c r="D58" t="s">
        <v>184</v>
      </c>
      <c r="E58" s="4">
        <v>4800</v>
      </c>
      <c r="F58" s="4">
        <v>0</v>
      </c>
      <c r="G58" s="1">
        <v>45559</v>
      </c>
      <c r="H58">
        <v>12</v>
      </c>
      <c r="I58" s="5"/>
      <c r="J58" t="str">
        <f t="shared" si="0"/>
        <v>12 شهر</v>
      </c>
      <c r="K58" t="s">
        <v>185</v>
      </c>
      <c r="L58" s="6" t="str" cm="1">
        <f t="array" ref="L58:O58">_xlfn.TEXTSPLIT(K58," ")</f>
        <v>يوسف</v>
      </c>
      <c r="M58" t="str">
        <v>أبوالغيط</v>
      </c>
      <c r="N58" t="str">
        <v>علي</v>
      </c>
      <c r="O58" t="str">
        <v>موسى</v>
      </c>
    </row>
    <row r="59" spans="1:16" x14ac:dyDescent="0.2">
      <c r="A59">
        <v>2</v>
      </c>
      <c r="B59">
        <v>9801000166</v>
      </c>
      <c r="C59" t="s">
        <v>186</v>
      </c>
      <c r="D59" t="s">
        <v>187</v>
      </c>
      <c r="E59" s="4">
        <v>36000.5</v>
      </c>
      <c r="F59" s="4">
        <v>2100</v>
      </c>
      <c r="G59" s="1">
        <v>44628</v>
      </c>
      <c r="H59">
        <v>12</v>
      </c>
      <c r="I59" s="5"/>
      <c r="J59" t="str">
        <f t="shared" si="0"/>
        <v>12 شهر</v>
      </c>
      <c r="K59" t="s">
        <v>188</v>
      </c>
      <c r="L59" s="6" t="str" cm="1">
        <f t="array" ref="L59:O59">_xlfn.TEXTSPLIT(K59," ")</f>
        <v>علي</v>
      </c>
      <c r="M59" t="str">
        <v>أحمد</v>
      </c>
      <c r="N59" t="str">
        <v>مصطفى</v>
      </c>
      <c r="O59" t="str">
        <v>عبدالله</v>
      </c>
    </row>
    <row r="60" spans="1:16" x14ac:dyDescent="0.2">
      <c r="A60">
        <v>2</v>
      </c>
      <c r="B60">
        <v>9821043416</v>
      </c>
      <c r="C60" t="s">
        <v>189</v>
      </c>
      <c r="D60" t="s">
        <v>190</v>
      </c>
      <c r="E60" s="4">
        <v>16000</v>
      </c>
      <c r="F60" s="4">
        <v>1666.6299999999999</v>
      </c>
      <c r="G60" s="1">
        <v>44843</v>
      </c>
      <c r="H60">
        <v>4</v>
      </c>
      <c r="I60" s="5"/>
      <c r="J60" t="str">
        <f t="shared" si="0"/>
        <v>4 شهر</v>
      </c>
      <c r="K60" t="s">
        <v>191</v>
      </c>
      <c r="L60" s="6" t="str" cm="1">
        <f t="array" ref="L60:O60">_xlfn.TEXTSPLIT(K60," ")</f>
        <v>زياد</v>
      </c>
      <c r="M60" t="str">
        <v>جميل</v>
      </c>
      <c r="N60" t="str">
        <v>محمود</v>
      </c>
      <c r="O60" t="str">
        <v>خويص</v>
      </c>
    </row>
    <row r="61" spans="1:16" x14ac:dyDescent="0.2">
      <c r="A61">
        <v>2</v>
      </c>
      <c r="B61">
        <v>9821058182</v>
      </c>
      <c r="C61" t="s">
        <v>192</v>
      </c>
      <c r="D61" t="s">
        <v>193</v>
      </c>
      <c r="E61" s="4">
        <v>24000.5</v>
      </c>
      <c r="F61" s="4">
        <v>1279.17</v>
      </c>
      <c r="G61" s="1">
        <v>39783</v>
      </c>
      <c r="H61">
        <v>12</v>
      </c>
      <c r="I61" s="5"/>
      <c r="J61" t="str">
        <f t="shared" si="0"/>
        <v>12 شهر</v>
      </c>
      <c r="K61" t="s">
        <v>194</v>
      </c>
      <c r="L61" s="6" t="str" cm="1">
        <f t="array" ref="L61:O61">_xlfn.TEXTSPLIT(K61," ")</f>
        <v>وليد</v>
      </c>
      <c r="M61" t="str">
        <v>حاتم</v>
      </c>
      <c r="N61" t="str">
        <v>إبراهيم</v>
      </c>
      <c r="O61" t="str">
        <v>ناصر</v>
      </c>
    </row>
    <row r="62" spans="1:16" x14ac:dyDescent="0.2">
      <c r="A62">
        <v>2</v>
      </c>
      <c r="B62">
        <v>9841042095</v>
      </c>
      <c r="C62" t="s">
        <v>195</v>
      </c>
      <c r="D62" t="s">
        <v>196</v>
      </c>
      <c r="E62" s="4">
        <v>8000</v>
      </c>
      <c r="F62" s="4">
        <v>1208.3399999999999</v>
      </c>
      <c r="G62" s="1">
        <v>45424</v>
      </c>
      <c r="H62">
        <v>2</v>
      </c>
      <c r="I62" s="1">
        <v>45715</v>
      </c>
      <c r="J62" t="str">
        <f t="shared" si="0"/>
        <v>2 شهر</v>
      </c>
      <c r="K62" t="s">
        <v>197</v>
      </c>
      <c r="L62" s="6" t="str" cm="1">
        <f t="array" ref="L62:O62">_xlfn.TEXTSPLIT(K62," ")</f>
        <v>سامي</v>
      </c>
      <c r="M62" t="str">
        <v>غالب</v>
      </c>
      <c r="N62" t="str">
        <v>س.</v>
      </c>
      <c r="O62" t="str">
        <v>الفرح</v>
      </c>
    </row>
    <row r="63" spans="1:16" x14ac:dyDescent="0.2">
      <c r="A63">
        <v>2</v>
      </c>
      <c r="B63">
        <v>9852034486</v>
      </c>
      <c r="C63" t="s">
        <v>198</v>
      </c>
      <c r="D63" t="s">
        <v>199</v>
      </c>
      <c r="E63" s="4">
        <v>5160.5</v>
      </c>
      <c r="F63" s="4">
        <v>0</v>
      </c>
      <c r="G63" s="1">
        <v>45323</v>
      </c>
      <c r="H63">
        <v>12</v>
      </c>
      <c r="I63" s="5"/>
      <c r="J63" t="str">
        <f t="shared" si="0"/>
        <v>12 شهر</v>
      </c>
      <c r="K63" t="s">
        <v>200</v>
      </c>
      <c r="L63" s="6" t="str" cm="1">
        <f t="array" ref="L63:O63">_xlfn.TEXTSPLIT(K63," ")</f>
        <v>صفاء</v>
      </c>
      <c r="M63" t="str">
        <v>هشام</v>
      </c>
      <c r="N63" t="str">
        <v>خالد</v>
      </c>
      <c r="O63" t="str">
        <v>أبوركبه</v>
      </c>
    </row>
    <row r="64" spans="1:16" x14ac:dyDescent="0.2">
      <c r="A64">
        <v>2</v>
      </c>
      <c r="B64">
        <v>9862047400</v>
      </c>
      <c r="C64" t="s">
        <v>201</v>
      </c>
      <c r="D64" t="s">
        <v>202</v>
      </c>
      <c r="E64" s="4">
        <v>16000</v>
      </c>
      <c r="F64" s="4">
        <v>2416.77</v>
      </c>
      <c r="G64" s="1">
        <v>44228</v>
      </c>
      <c r="H64">
        <v>4</v>
      </c>
      <c r="I64" s="5"/>
      <c r="J64" t="str">
        <f t="shared" si="0"/>
        <v>4 شهر</v>
      </c>
      <c r="K64" t="s">
        <v>203</v>
      </c>
      <c r="L64" s="6" t="str" cm="1">
        <f t="array" ref="L64:O64">_xlfn.TEXTSPLIT(K64," ")</f>
        <v>هديل</v>
      </c>
      <c r="M64" t="str">
        <v>منصور</v>
      </c>
      <c r="N64" t="str">
        <v>سالم</v>
      </c>
      <c r="O64" t="str">
        <v>الجبور</v>
      </c>
    </row>
    <row r="65" spans="1:15" x14ac:dyDescent="0.2">
      <c r="A65">
        <v>2</v>
      </c>
      <c r="B65">
        <v>9871003185</v>
      </c>
      <c r="C65" t="s">
        <v>204</v>
      </c>
      <c r="D65" t="s">
        <v>205</v>
      </c>
      <c r="E65" s="4">
        <v>5700</v>
      </c>
      <c r="F65" s="4">
        <v>0</v>
      </c>
      <c r="G65" s="1">
        <v>45566</v>
      </c>
      <c r="H65">
        <v>12</v>
      </c>
      <c r="I65" s="5"/>
      <c r="J65" t="str">
        <f t="shared" si="0"/>
        <v>12 شهر</v>
      </c>
      <c r="K65" t="s">
        <v>206</v>
      </c>
      <c r="L65" s="6" t="str" cm="1">
        <f t="array" ref="L65:O65">_xlfn.TEXTSPLIT(K65," ")</f>
        <v>مؤمن</v>
      </c>
      <c r="M65" t="str">
        <v>حسن</v>
      </c>
      <c r="N65" t="str">
        <v>محمد</v>
      </c>
      <c r="O65" t="str">
        <v>أبوالذنين</v>
      </c>
    </row>
    <row r="66" spans="1:15" x14ac:dyDescent="0.2">
      <c r="A66">
        <v>2</v>
      </c>
      <c r="B66">
        <v>9891002780</v>
      </c>
      <c r="C66" t="s">
        <v>207</v>
      </c>
      <c r="D66" t="s">
        <v>208</v>
      </c>
      <c r="E66" s="4">
        <v>16800.2</v>
      </c>
      <c r="F66" s="4">
        <v>530.29999999999995</v>
      </c>
      <c r="G66" s="1">
        <v>44843</v>
      </c>
      <c r="H66">
        <v>12</v>
      </c>
      <c r="I66" s="5"/>
      <c r="J66" t="str">
        <f t="shared" si="0"/>
        <v>12 شهر</v>
      </c>
      <c r="K66" t="s">
        <v>209</v>
      </c>
      <c r="L66" s="6" t="str" cm="1">
        <f t="array" ref="L66:O66">_xlfn.TEXTSPLIT(K66," ")</f>
        <v>أحمد</v>
      </c>
      <c r="M66" t="str">
        <v>محمد</v>
      </c>
      <c r="N66" t="str">
        <v>صباح</v>
      </c>
      <c r="O66" t="str">
        <v>نجم</v>
      </c>
    </row>
    <row r="67" spans="1:15" x14ac:dyDescent="0.2">
      <c r="A67">
        <v>2</v>
      </c>
      <c r="B67">
        <v>9892028192</v>
      </c>
      <c r="C67" t="s">
        <v>210</v>
      </c>
      <c r="D67" t="s">
        <v>211</v>
      </c>
      <c r="E67" s="4">
        <v>3154</v>
      </c>
      <c r="F67" s="4">
        <v>123.8</v>
      </c>
      <c r="G67" s="1">
        <v>43793</v>
      </c>
      <c r="H67">
        <v>2</v>
      </c>
      <c r="I67" s="1">
        <v>45715</v>
      </c>
      <c r="J67" t="str">
        <f t="shared" ref="J67:J112" si="1">CONCATENATE(,H67," ","شهر")</f>
        <v>2 شهر</v>
      </c>
      <c r="K67" t="s">
        <v>212</v>
      </c>
      <c r="L67" s="6" t="str" cm="1">
        <f t="array" ref="L67:O67">_xlfn.TEXTSPLIT(K67," ")</f>
        <v>رنا</v>
      </c>
      <c r="M67" t="str">
        <v>غازي</v>
      </c>
      <c r="N67" t="str">
        <v>محمد</v>
      </c>
      <c r="O67" t="str">
        <v>عبابنة</v>
      </c>
    </row>
    <row r="68" spans="1:15" x14ac:dyDescent="0.2">
      <c r="A68">
        <v>2</v>
      </c>
      <c r="B68">
        <v>9911040443</v>
      </c>
      <c r="C68" t="s">
        <v>213</v>
      </c>
      <c r="D68" t="s">
        <v>214</v>
      </c>
      <c r="E68" s="4">
        <v>1250</v>
      </c>
      <c r="F68" s="4">
        <v>29</v>
      </c>
      <c r="G68" s="1">
        <v>44501</v>
      </c>
      <c r="H68">
        <v>1</v>
      </c>
      <c r="I68" s="1">
        <v>45688</v>
      </c>
      <c r="J68" t="str">
        <f t="shared" si="1"/>
        <v>1 شهر</v>
      </c>
      <c r="K68" t="s">
        <v>215</v>
      </c>
      <c r="L68" s="6" t="str" cm="1">
        <f t="array" ref="L68:O68">_xlfn.TEXTSPLIT(K68," ")</f>
        <v>أحمد</v>
      </c>
      <c r="M68" t="str">
        <v>عادل</v>
      </c>
      <c r="N68" t="str">
        <v>عوض</v>
      </c>
      <c r="O68" t="str">
        <v>العامر</v>
      </c>
    </row>
    <row r="69" spans="1:15" x14ac:dyDescent="0.2">
      <c r="A69">
        <v>2</v>
      </c>
      <c r="B69">
        <v>9912033687</v>
      </c>
      <c r="C69" t="s">
        <v>216</v>
      </c>
      <c r="D69" t="s">
        <v>217</v>
      </c>
      <c r="E69" s="4">
        <v>23052.5</v>
      </c>
      <c r="F69" s="4">
        <v>1356</v>
      </c>
      <c r="G69" s="1">
        <v>44600</v>
      </c>
      <c r="H69">
        <v>12</v>
      </c>
      <c r="I69" s="5"/>
      <c r="J69" t="str">
        <f t="shared" si="1"/>
        <v>12 شهر</v>
      </c>
      <c r="K69" t="s">
        <v>218</v>
      </c>
      <c r="L69" s="6" t="str" cm="1">
        <f t="array" ref="L69:O69">_xlfn.TEXTSPLIT(K69," ")</f>
        <v>دعاء</v>
      </c>
      <c r="M69" t="str">
        <v>عيسى</v>
      </c>
      <c r="N69" t="str">
        <v>شعبان</v>
      </c>
      <c r="O69" t="str">
        <v>الحوراني</v>
      </c>
    </row>
    <row r="70" spans="1:15" x14ac:dyDescent="0.2">
      <c r="A70">
        <v>2</v>
      </c>
      <c r="B70">
        <v>9921011807</v>
      </c>
      <c r="C70" t="s">
        <v>219</v>
      </c>
      <c r="D70" t="s">
        <v>220</v>
      </c>
      <c r="E70" s="4">
        <v>13200</v>
      </c>
      <c r="F70" s="4">
        <v>210</v>
      </c>
      <c r="G70" s="1">
        <v>45578</v>
      </c>
      <c r="H70">
        <v>12</v>
      </c>
      <c r="I70" s="5"/>
      <c r="J70" t="str">
        <f t="shared" si="1"/>
        <v>12 شهر</v>
      </c>
      <c r="K70" t="s">
        <v>221</v>
      </c>
      <c r="L70" s="6" t="str" cm="1">
        <f t="array" ref="L70:O70">_xlfn.TEXTSPLIT(K70," ")</f>
        <v>سفيان</v>
      </c>
      <c r="M70" t="str">
        <v>نايف</v>
      </c>
      <c r="N70" t="str">
        <v>عبدالقادر</v>
      </c>
      <c r="O70" t="str">
        <v>حمدان</v>
      </c>
    </row>
    <row r="71" spans="1:15" x14ac:dyDescent="0.2">
      <c r="A71">
        <v>2</v>
      </c>
      <c r="B71">
        <v>9922000964</v>
      </c>
      <c r="C71" t="s">
        <v>222</v>
      </c>
      <c r="D71" t="s">
        <v>223</v>
      </c>
      <c r="E71" s="4">
        <v>10400</v>
      </c>
      <c r="F71" s="4">
        <v>1016</v>
      </c>
      <c r="G71" s="1">
        <v>44472</v>
      </c>
      <c r="H71">
        <v>4</v>
      </c>
      <c r="I71" s="5"/>
      <c r="J71" t="str">
        <f t="shared" si="1"/>
        <v>4 شهر</v>
      </c>
      <c r="K71" t="s">
        <v>224</v>
      </c>
      <c r="L71" s="6" t="str" cm="1">
        <f t="array" ref="L71:O71">_xlfn.TEXTSPLIT(K71," ")</f>
        <v>ملك</v>
      </c>
      <c r="M71" t="str">
        <v>محمد</v>
      </c>
      <c r="N71" t="str">
        <v>نور</v>
      </c>
      <c r="O71" t="str">
        <v>الجمال</v>
      </c>
    </row>
    <row r="72" spans="1:15" x14ac:dyDescent="0.2">
      <c r="A72">
        <v>2</v>
      </c>
      <c r="B72">
        <v>9922009985</v>
      </c>
      <c r="C72" t="s">
        <v>225</v>
      </c>
      <c r="D72" t="s">
        <v>226</v>
      </c>
      <c r="E72" s="4">
        <v>16800.28</v>
      </c>
      <c r="F72" s="4">
        <v>530.4</v>
      </c>
      <c r="G72" s="1">
        <v>45557</v>
      </c>
      <c r="H72">
        <v>12</v>
      </c>
      <c r="I72" s="5"/>
      <c r="J72" t="str">
        <f t="shared" si="1"/>
        <v>12 شهر</v>
      </c>
      <c r="K72" t="s">
        <v>227</v>
      </c>
      <c r="L72" s="6" t="str" cm="1">
        <f t="array" ref="L72:O72">_xlfn.TEXTSPLIT(K72," ")</f>
        <v>ديما</v>
      </c>
      <c r="M72" t="str">
        <v>سمير</v>
      </c>
      <c r="N72" t="str">
        <v>عياد</v>
      </c>
      <c r="O72" t="str">
        <v>سعده</v>
      </c>
    </row>
    <row r="73" spans="1:15" x14ac:dyDescent="0.2">
      <c r="A73">
        <v>2</v>
      </c>
      <c r="B73">
        <v>9922047587</v>
      </c>
      <c r="C73" t="s">
        <v>228</v>
      </c>
      <c r="D73" t="s">
        <v>229</v>
      </c>
      <c r="E73" s="4">
        <v>1300</v>
      </c>
      <c r="F73" s="4">
        <v>34.200000000000003</v>
      </c>
      <c r="G73" s="1">
        <v>45718</v>
      </c>
      <c r="H73">
        <v>1</v>
      </c>
      <c r="I73" s="1">
        <v>45740</v>
      </c>
      <c r="J73" t="str">
        <f t="shared" si="1"/>
        <v>1 شهر</v>
      </c>
      <c r="K73" t="s">
        <v>230</v>
      </c>
      <c r="L73" s="6" t="str" cm="1">
        <f t="array" ref="L73:O73">_xlfn.TEXTSPLIT(K73," ")</f>
        <v>هيا</v>
      </c>
      <c r="M73" t="str">
        <v>عصام</v>
      </c>
      <c r="N73" t="str">
        <v>محمود</v>
      </c>
      <c r="O73" t="str">
        <v>الخواجة</v>
      </c>
    </row>
    <row r="74" spans="1:15" x14ac:dyDescent="0.2">
      <c r="A74">
        <v>2</v>
      </c>
      <c r="B74">
        <v>9932029927</v>
      </c>
      <c r="C74" t="s">
        <v>231</v>
      </c>
      <c r="D74" t="s">
        <v>232</v>
      </c>
      <c r="E74" s="4">
        <v>13799.75</v>
      </c>
      <c r="F74" s="4">
        <v>240</v>
      </c>
      <c r="G74" s="1">
        <v>44444</v>
      </c>
      <c r="H74">
        <v>12</v>
      </c>
      <c r="I74" s="5"/>
      <c r="J74" t="str">
        <f t="shared" si="1"/>
        <v>12 شهر</v>
      </c>
      <c r="K74" t="s">
        <v>233</v>
      </c>
      <c r="L74" s="6" t="str" cm="1">
        <f t="array" ref="L74:O74">_xlfn.TEXTSPLIT(K74," ")</f>
        <v>هباه</v>
      </c>
      <c r="M74" t="str">
        <v>علاءالدين</v>
      </c>
      <c r="N74" t="str">
        <v>عبداللطيف</v>
      </c>
      <c r="O74" t="str">
        <v>قمحيه</v>
      </c>
    </row>
    <row r="75" spans="1:15" x14ac:dyDescent="0.2">
      <c r="A75">
        <v>2</v>
      </c>
      <c r="B75">
        <v>9941032956</v>
      </c>
      <c r="C75" t="s">
        <v>234</v>
      </c>
      <c r="D75" t="s">
        <v>235</v>
      </c>
      <c r="E75" s="4">
        <v>850</v>
      </c>
      <c r="F75" s="4">
        <v>5</v>
      </c>
      <c r="G75" s="1">
        <v>44925</v>
      </c>
      <c r="H75">
        <v>1</v>
      </c>
      <c r="I75" s="1">
        <v>45688</v>
      </c>
      <c r="J75" t="str">
        <f t="shared" si="1"/>
        <v>1 شهر</v>
      </c>
      <c r="K75" t="s">
        <v>236</v>
      </c>
      <c r="L75" s="6" t="str" cm="1">
        <f t="array" ref="L75:O75">_xlfn.TEXTSPLIT(K75," ")</f>
        <v>حاتم</v>
      </c>
      <c r="M75" t="str">
        <v>نضال</v>
      </c>
      <c r="N75" t="str">
        <v>أكرم</v>
      </c>
      <c r="O75" t="str">
        <v>سلام</v>
      </c>
    </row>
    <row r="76" spans="1:15" x14ac:dyDescent="0.2">
      <c r="A76">
        <v>2</v>
      </c>
      <c r="B76">
        <v>9941073408</v>
      </c>
      <c r="C76" t="s">
        <v>237</v>
      </c>
      <c r="D76" t="s">
        <v>238</v>
      </c>
      <c r="E76" s="4">
        <v>15599.75</v>
      </c>
      <c r="F76" s="4">
        <v>408</v>
      </c>
      <c r="G76" s="1">
        <v>44717</v>
      </c>
      <c r="H76">
        <v>12</v>
      </c>
      <c r="I76" s="5"/>
      <c r="J76" t="str">
        <f t="shared" si="1"/>
        <v>12 شهر</v>
      </c>
      <c r="K76" t="s">
        <v>239</v>
      </c>
      <c r="L76" s="6" t="str" cm="1">
        <f t="array" ref="L76:O76">_xlfn.TEXTSPLIT(K76," ")</f>
        <v>جعفر</v>
      </c>
      <c r="M76" t="str">
        <v>عادل</v>
      </c>
      <c r="N76" t="str">
        <v>حسن</v>
      </c>
      <c r="O76" t="str">
        <v>سمارة</v>
      </c>
    </row>
    <row r="77" spans="1:15" x14ac:dyDescent="0.2">
      <c r="A77">
        <v>2</v>
      </c>
      <c r="B77">
        <v>9941073423</v>
      </c>
      <c r="C77" t="s">
        <v>240</v>
      </c>
      <c r="D77" t="s">
        <v>241</v>
      </c>
      <c r="E77" s="4">
        <v>2000</v>
      </c>
      <c r="F77" s="4">
        <v>125</v>
      </c>
      <c r="G77" s="1">
        <v>43744</v>
      </c>
      <c r="H77">
        <v>1</v>
      </c>
      <c r="I77" s="1">
        <v>45688</v>
      </c>
      <c r="J77" t="str">
        <f t="shared" si="1"/>
        <v>1 شهر</v>
      </c>
      <c r="K77" t="s">
        <v>242</v>
      </c>
      <c r="L77" s="6" t="str" cm="1">
        <f t="array" ref="L77:O77">_xlfn.TEXTSPLIT(K77," ")</f>
        <v>رامي</v>
      </c>
      <c r="M77" t="str">
        <v>فخرالدين</v>
      </c>
      <c r="N77" t="str">
        <v>محمود</v>
      </c>
      <c r="O77" t="str">
        <v>أبوإرحيم</v>
      </c>
    </row>
    <row r="78" spans="1:15" x14ac:dyDescent="0.2">
      <c r="A78">
        <v>3</v>
      </c>
      <c r="B78">
        <v>9941115273</v>
      </c>
      <c r="C78" t="s">
        <v>243</v>
      </c>
      <c r="D78" t="s">
        <v>244</v>
      </c>
      <c r="E78" s="4">
        <v>18000.5</v>
      </c>
      <c r="F78" s="4">
        <v>648</v>
      </c>
      <c r="G78" s="1">
        <v>45139</v>
      </c>
      <c r="H78">
        <v>12</v>
      </c>
      <c r="I78" s="5"/>
      <c r="J78" t="str">
        <f t="shared" si="1"/>
        <v>12 شهر</v>
      </c>
      <c r="K78" t="s">
        <v>245</v>
      </c>
      <c r="L78" s="6" t="str" cm="1">
        <f t="array" ref="L78:O78">_xlfn.TEXTSPLIT(K78," ")</f>
        <v>يحيى</v>
      </c>
      <c r="M78" t="str">
        <v>محمد</v>
      </c>
      <c r="N78" t="str">
        <v>سامي</v>
      </c>
      <c r="O78" t="str">
        <v>أبوالشامات</v>
      </c>
    </row>
    <row r="79" spans="1:15" x14ac:dyDescent="0.2">
      <c r="A79">
        <v>2</v>
      </c>
      <c r="B79">
        <v>9942013537</v>
      </c>
      <c r="C79" t="s">
        <v>246</v>
      </c>
      <c r="D79" t="s">
        <v>247</v>
      </c>
      <c r="E79" s="4">
        <v>1800</v>
      </c>
      <c r="F79" s="4">
        <v>16</v>
      </c>
      <c r="G79" s="1">
        <v>44641</v>
      </c>
      <c r="H79">
        <v>2</v>
      </c>
      <c r="I79" s="1">
        <v>45716</v>
      </c>
      <c r="J79" t="str">
        <f t="shared" si="1"/>
        <v>2 شهر</v>
      </c>
      <c r="K79" t="s">
        <v>248</v>
      </c>
      <c r="L79" s="6" t="str" cm="1">
        <f t="array" ref="L79:O79">_xlfn.TEXTSPLIT(K79," ")</f>
        <v>نور</v>
      </c>
      <c r="M79" t="str">
        <v>محمد</v>
      </c>
      <c r="N79" t="str">
        <v>فايز</v>
      </c>
      <c r="O79" t="str">
        <v>أبوالعينين</v>
      </c>
    </row>
    <row r="80" spans="1:15" x14ac:dyDescent="0.2">
      <c r="A80">
        <v>2</v>
      </c>
      <c r="B80">
        <v>9952000954</v>
      </c>
      <c r="C80" t="s">
        <v>249</v>
      </c>
      <c r="D80" t="s">
        <v>250</v>
      </c>
      <c r="E80" s="4">
        <v>3300</v>
      </c>
      <c r="F80" s="4">
        <v>54</v>
      </c>
      <c r="G80" s="1">
        <v>44199</v>
      </c>
      <c r="H80">
        <v>3</v>
      </c>
      <c r="I80" s="1">
        <v>45756</v>
      </c>
      <c r="J80" t="str">
        <f t="shared" si="1"/>
        <v>3 شهر</v>
      </c>
      <c r="K80" t="s">
        <v>251</v>
      </c>
      <c r="L80" s="6" t="str" cm="1">
        <f t="array" ref="L80:O80">_xlfn.TEXTSPLIT(K80," ")</f>
        <v>أسماء</v>
      </c>
      <c r="M80" t="str">
        <v>شبيب</v>
      </c>
      <c r="N80" t="str">
        <v>أنس</v>
      </c>
      <c r="O80" t="str">
        <v>المصري</v>
      </c>
    </row>
    <row r="81" spans="1:16" x14ac:dyDescent="0.2">
      <c r="A81">
        <v>2</v>
      </c>
      <c r="B81">
        <v>9952072980</v>
      </c>
      <c r="C81" t="s">
        <v>252</v>
      </c>
      <c r="D81" t="s">
        <v>253</v>
      </c>
      <c r="E81" s="4">
        <v>15000.45</v>
      </c>
      <c r="F81" s="4">
        <v>350.29999999999995</v>
      </c>
      <c r="G81" s="1">
        <v>44787</v>
      </c>
      <c r="H81">
        <v>12</v>
      </c>
      <c r="I81" s="5"/>
      <c r="J81" t="str">
        <f t="shared" si="1"/>
        <v>12 شهر</v>
      </c>
      <c r="K81" t="s">
        <v>254</v>
      </c>
      <c r="L81" s="6" t="str" cm="1">
        <f t="array" ref="L81:O81">_xlfn.TEXTSPLIT(K81," ")</f>
        <v>حنين</v>
      </c>
      <c r="M81" t="str">
        <v>محمد</v>
      </c>
      <c r="N81" t="str">
        <v>أحمد</v>
      </c>
      <c r="O81" t="str">
        <v>الحموري</v>
      </c>
    </row>
    <row r="82" spans="1:16" x14ac:dyDescent="0.2">
      <c r="A82">
        <v>2</v>
      </c>
      <c r="B82">
        <v>9961072625</v>
      </c>
      <c r="C82" t="s">
        <v>255</v>
      </c>
      <c r="D82" t="s">
        <v>256</v>
      </c>
      <c r="E82" s="4">
        <v>22800</v>
      </c>
      <c r="F82" s="4">
        <v>1320</v>
      </c>
      <c r="G82" s="1">
        <v>44199</v>
      </c>
      <c r="H82">
        <v>12</v>
      </c>
      <c r="I82" s="5"/>
      <c r="J82" t="str">
        <f t="shared" si="1"/>
        <v>12 شهر</v>
      </c>
      <c r="K82" t="s">
        <v>257</v>
      </c>
      <c r="L82" s="6" t="str" cm="1">
        <f t="array" ref="L82:O82">_xlfn.TEXTSPLIT(K82," ")</f>
        <v>خالد</v>
      </c>
      <c r="M82" t="str">
        <v>عبدالرحمن</v>
      </c>
      <c r="N82" t="str">
        <v>عبدالستار</v>
      </c>
      <c r="O82" t="str">
        <v>البكار</v>
      </c>
    </row>
    <row r="83" spans="1:16" x14ac:dyDescent="0.2">
      <c r="A83">
        <v>2</v>
      </c>
      <c r="B83">
        <v>9962003552</v>
      </c>
      <c r="C83" t="s">
        <v>258</v>
      </c>
      <c r="D83" t="s">
        <v>259</v>
      </c>
      <c r="E83" s="4">
        <v>20400.25</v>
      </c>
      <c r="F83" s="4">
        <v>960</v>
      </c>
      <c r="G83" s="1">
        <v>45305</v>
      </c>
      <c r="H83">
        <v>12</v>
      </c>
      <c r="I83" s="5"/>
      <c r="J83" t="str">
        <f t="shared" si="1"/>
        <v>12 شهر</v>
      </c>
      <c r="K83" t="s">
        <v>260</v>
      </c>
      <c r="L83" s="6" t="str" cm="1">
        <f t="array" ref="L83:P83">_xlfn.TEXTSPLIT(K83," ")</f>
        <v>ياسمين</v>
      </c>
      <c r="M83" t="str">
        <v>يوسف</v>
      </c>
      <c r="N83" t="str">
        <v>الحاج</v>
      </c>
      <c r="O83" t="str">
        <v>فلاح</v>
      </c>
      <c r="P83" t="str">
        <v>معايعة</v>
      </c>
    </row>
    <row r="84" spans="1:16" x14ac:dyDescent="0.2">
      <c r="A84">
        <v>2</v>
      </c>
      <c r="B84">
        <v>9962003904</v>
      </c>
      <c r="C84" t="s">
        <v>261</v>
      </c>
      <c r="D84" t="s">
        <v>262</v>
      </c>
      <c r="E84" s="4">
        <v>16536.5</v>
      </c>
      <c r="F84" s="4">
        <v>504.17</v>
      </c>
      <c r="G84" s="1">
        <v>45221</v>
      </c>
      <c r="H84">
        <v>12</v>
      </c>
      <c r="I84" s="5"/>
      <c r="J84" t="str">
        <f t="shared" si="1"/>
        <v>12 شهر</v>
      </c>
      <c r="K84" t="s">
        <v>263</v>
      </c>
      <c r="L84" s="6" t="str" cm="1">
        <f t="array" ref="L84:O84">_xlfn.TEXTSPLIT(K84," ")</f>
        <v>سريان</v>
      </c>
      <c r="M84" t="str">
        <v>عبدالعظيم</v>
      </c>
      <c r="N84" t="str">
        <v>حسن</v>
      </c>
      <c r="O84" t="str">
        <v>أبوالروس</v>
      </c>
    </row>
    <row r="85" spans="1:16" x14ac:dyDescent="0.2">
      <c r="A85">
        <v>2</v>
      </c>
      <c r="B85">
        <v>9962005499</v>
      </c>
      <c r="C85" t="s">
        <v>264</v>
      </c>
      <c r="D85" t="s">
        <v>265</v>
      </c>
      <c r="E85" s="4">
        <v>15600.25</v>
      </c>
      <c r="F85" s="4">
        <v>408</v>
      </c>
      <c r="G85" s="1">
        <v>44600</v>
      </c>
      <c r="H85">
        <v>12</v>
      </c>
      <c r="I85" s="5"/>
      <c r="J85" t="str">
        <f t="shared" si="1"/>
        <v>12 شهر</v>
      </c>
      <c r="K85" t="s">
        <v>266</v>
      </c>
      <c r="L85" s="6" t="str" cm="1">
        <f t="array" ref="L85:O85">_xlfn.TEXTSPLIT(K85," ")</f>
        <v>شهد</v>
      </c>
      <c r="M85" t="str">
        <v>علي</v>
      </c>
      <c r="N85" t="str">
        <v>أحمد</v>
      </c>
      <c r="O85" t="str">
        <v>عوض</v>
      </c>
    </row>
    <row r="86" spans="1:16" x14ac:dyDescent="0.2">
      <c r="A86">
        <v>2</v>
      </c>
      <c r="B86">
        <v>9962017460</v>
      </c>
      <c r="C86" t="s">
        <v>267</v>
      </c>
      <c r="D86" t="s">
        <v>268</v>
      </c>
      <c r="E86" s="4">
        <v>1900</v>
      </c>
      <c r="F86" s="4">
        <v>20</v>
      </c>
      <c r="G86" s="1">
        <v>45263</v>
      </c>
      <c r="H86">
        <v>2</v>
      </c>
      <c r="I86" s="1">
        <v>45736</v>
      </c>
      <c r="J86" t="str">
        <f t="shared" si="1"/>
        <v>2 شهر</v>
      </c>
      <c r="K86" t="s">
        <v>269</v>
      </c>
      <c r="L86" s="6" t="str" cm="1">
        <f t="array" ref="L86:P86">_xlfn.TEXTSPLIT(K86," ")</f>
        <v>نيرين</v>
      </c>
      <c r="M86" t="str">
        <v>وصفي</v>
      </c>
      <c r="N86" t="str">
        <v>(محمد</v>
      </c>
      <c r="O86" t="str">
        <v>علي)</v>
      </c>
      <c r="P86" t="str">
        <v>يزاو</v>
      </c>
    </row>
    <row r="87" spans="1:16" x14ac:dyDescent="0.2">
      <c r="A87">
        <v>2</v>
      </c>
      <c r="B87">
        <v>9962030560</v>
      </c>
      <c r="C87" t="s">
        <v>270</v>
      </c>
      <c r="D87" t="s">
        <v>271</v>
      </c>
      <c r="E87" s="4">
        <v>14318.130000000001</v>
      </c>
      <c r="F87" s="4">
        <v>350.39999999999992</v>
      </c>
      <c r="G87" s="1">
        <v>45676</v>
      </c>
      <c r="H87">
        <v>12</v>
      </c>
      <c r="I87" s="5"/>
      <c r="J87" t="str">
        <f t="shared" si="1"/>
        <v>12 شهر</v>
      </c>
      <c r="K87" t="s">
        <v>272</v>
      </c>
      <c r="L87" s="6" t="str" cm="1">
        <f t="array" ref="L87:O87">_xlfn.TEXTSPLIT(K87," ")</f>
        <v>وعد</v>
      </c>
      <c r="M87" t="str">
        <v>رياض</v>
      </c>
      <c r="N87" t="str">
        <v>عزت</v>
      </c>
      <c r="O87" t="str">
        <v>الديرية</v>
      </c>
    </row>
    <row r="88" spans="1:16" x14ac:dyDescent="0.2">
      <c r="A88">
        <v>2</v>
      </c>
      <c r="B88">
        <v>9962033823</v>
      </c>
      <c r="C88" t="s">
        <v>273</v>
      </c>
      <c r="D88" t="s">
        <v>274</v>
      </c>
      <c r="E88" s="4">
        <v>11999.75</v>
      </c>
      <c r="F88" s="4">
        <v>150</v>
      </c>
      <c r="G88" s="1">
        <v>45438</v>
      </c>
      <c r="H88">
        <v>12</v>
      </c>
      <c r="I88" s="5"/>
      <c r="J88" t="str">
        <f t="shared" si="1"/>
        <v>12 شهر</v>
      </c>
      <c r="K88" t="s">
        <v>275</v>
      </c>
      <c r="L88" s="6" t="str" cm="1">
        <f t="array" ref="L88:O88">_xlfn.TEXTSPLIT(K88," ")</f>
        <v>كريستين</v>
      </c>
      <c r="M88" t="str">
        <v>فريد</v>
      </c>
      <c r="N88" t="str">
        <v>إلياس</v>
      </c>
      <c r="O88" t="str">
        <v>السقا</v>
      </c>
    </row>
    <row r="89" spans="1:16" x14ac:dyDescent="0.2">
      <c r="A89">
        <v>2</v>
      </c>
      <c r="B89">
        <v>9962037163</v>
      </c>
      <c r="C89" t="s">
        <v>276</v>
      </c>
      <c r="D89" t="s">
        <v>277</v>
      </c>
      <c r="E89" s="4">
        <v>9726.19</v>
      </c>
      <c r="F89" s="4">
        <v>144</v>
      </c>
      <c r="G89" s="1">
        <v>44501</v>
      </c>
      <c r="H89">
        <v>10</v>
      </c>
      <c r="I89" s="1"/>
      <c r="J89" t="str">
        <f t="shared" si="1"/>
        <v>10 شهر</v>
      </c>
      <c r="K89" t="s">
        <v>278</v>
      </c>
      <c r="L89" s="6" t="str" cm="1">
        <f t="array" ref="L89:O89">_xlfn.TEXTSPLIT(K89," ")</f>
        <v>ربى</v>
      </c>
      <c r="M89" t="str">
        <v>إبراهيم</v>
      </c>
      <c r="N89" t="str">
        <v>محمود</v>
      </c>
      <c r="O89" t="str">
        <v>سلطان</v>
      </c>
    </row>
    <row r="90" spans="1:16" x14ac:dyDescent="0.2">
      <c r="A90">
        <v>2</v>
      </c>
      <c r="B90">
        <v>9971022379</v>
      </c>
      <c r="C90" t="s">
        <v>279</v>
      </c>
      <c r="D90" t="s">
        <v>280</v>
      </c>
      <c r="E90" s="4">
        <v>11999.75</v>
      </c>
      <c r="F90" s="4">
        <v>150</v>
      </c>
      <c r="G90" s="1">
        <v>45291</v>
      </c>
      <c r="H90">
        <v>12</v>
      </c>
      <c r="I90" s="5"/>
      <c r="J90" t="str">
        <f t="shared" si="1"/>
        <v>12 شهر</v>
      </c>
      <c r="K90" t="s">
        <v>281</v>
      </c>
      <c r="L90" s="6" t="str" cm="1">
        <f t="array" ref="L90:O90">_xlfn.TEXTSPLIT(K90," ")</f>
        <v>محمد</v>
      </c>
      <c r="M90" t="str">
        <v>صلاح</v>
      </c>
      <c r="N90" t="str">
        <v>إبراهيم</v>
      </c>
      <c r="O90" t="str">
        <v>المجالي</v>
      </c>
    </row>
    <row r="91" spans="1:16" x14ac:dyDescent="0.2">
      <c r="A91">
        <v>2</v>
      </c>
      <c r="B91">
        <v>9971053150</v>
      </c>
      <c r="C91" t="s">
        <v>282</v>
      </c>
      <c r="D91" t="s">
        <v>283</v>
      </c>
      <c r="E91" s="4">
        <v>13200</v>
      </c>
      <c r="F91" s="4">
        <v>210</v>
      </c>
      <c r="G91" s="1">
        <v>45627</v>
      </c>
      <c r="H91">
        <v>12</v>
      </c>
      <c r="I91" s="5"/>
      <c r="J91" t="str">
        <f t="shared" si="1"/>
        <v>12 شهر</v>
      </c>
      <c r="K91" t="s">
        <v>284</v>
      </c>
      <c r="L91" s="6" t="str" cm="1">
        <f t="array" ref="L91:O91">_xlfn.TEXTSPLIT(K91," ")</f>
        <v>مجاهد</v>
      </c>
      <c r="M91" t="str">
        <v>يوسف</v>
      </c>
      <c r="N91" t="str">
        <v>طه</v>
      </c>
      <c r="O91" t="str">
        <v>أبوعرقوب</v>
      </c>
    </row>
    <row r="92" spans="1:16" x14ac:dyDescent="0.2">
      <c r="A92">
        <v>2</v>
      </c>
      <c r="B92">
        <v>9971056754</v>
      </c>
      <c r="C92" t="s">
        <v>285</v>
      </c>
      <c r="D92" t="s">
        <v>286</v>
      </c>
      <c r="E92" s="4">
        <v>15400.17</v>
      </c>
      <c r="F92" s="4">
        <v>485.87000000000012</v>
      </c>
      <c r="G92" s="1">
        <v>45550</v>
      </c>
      <c r="H92">
        <v>11</v>
      </c>
      <c r="I92" s="1">
        <v>45992</v>
      </c>
      <c r="J92" t="str">
        <f t="shared" si="1"/>
        <v>11 شهر</v>
      </c>
      <c r="K92" t="s">
        <v>287</v>
      </c>
      <c r="L92" s="6" t="str" cm="1">
        <f t="array" ref="L92:O92">_xlfn.TEXTSPLIT(K92," ")</f>
        <v>أنس</v>
      </c>
      <c r="M92" t="str">
        <v>محمد</v>
      </c>
      <c r="N92" t="str">
        <v>خالد</v>
      </c>
      <c r="O92" t="str">
        <v>أبوالهيجة</v>
      </c>
    </row>
    <row r="93" spans="1:16" x14ac:dyDescent="0.2">
      <c r="A93">
        <v>2</v>
      </c>
      <c r="B93">
        <v>9972025778</v>
      </c>
      <c r="C93" t="s">
        <v>288</v>
      </c>
      <c r="D93" t="s">
        <v>289</v>
      </c>
      <c r="E93" s="4">
        <v>7714</v>
      </c>
      <c r="F93" s="4">
        <v>380</v>
      </c>
      <c r="G93" s="1">
        <v>45893</v>
      </c>
      <c r="H93">
        <v>4</v>
      </c>
      <c r="I93" s="5"/>
      <c r="J93" t="str">
        <f t="shared" si="1"/>
        <v>4 شهر</v>
      </c>
      <c r="K93" t="s">
        <v>290</v>
      </c>
      <c r="L93" s="6" t="str" cm="1">
        <f t="array" ref="L93:O93">_xlfn.TEXTSPLIT(K93," ")</f>
        <v>مرح</v>
      </c>
      <c r="M93" t="str">
        <v>خالد</v>
      </c>
      <c r="N93" t="str">
        <v>فوزي</v>
      </c>
      <c r="O93" t="str">
        <v>السلطي</v>
      </c>
    </row>
    <row r="94" spans="1:16" x14ac:dyDescent="0.2">
      <c r="A94">
        <v>2</v>
      </c>
      <c r="B94">
        <v>9972036771</v>
      </c>
      <c r="C94" t="s">
        <v>291</v>
      </c>
      <c r="D94" t="s">
        <v>292</v>
      </c>
      <c r="E94" s="4">
        <v>16800</v>
      </c>
      <c r="F94" s="4">
        <v>528</v>
      </c>
      <c r="G94" s="1">
        <v>44501</v>
      </c>
      <c r="H94">
        <v>12</v>
      </c>
      <c r="I94" s="5"/>
      <c r="J94" t="str">
        <f t="shared" si="1"/>
        <v>12 شهر</v>
      </c>
      <c r="K94" t="s">
        <v>293</v>
      </c>
      <c r="L94" s="6" t="str" cm="1">
        <f t="array" ref="L94:O94">_xlfn.TEXTSPLIT(K94," ")</f>
        <v>ريما</v>
      </c>
      <c r="M94" t="str">
        <v>محمد</v>
      </c>
      <c r="N94" t="str">
        <v>عبدالله</v>
      </c>
      <c r="O94" t="str">
        <v>الرمحي</v>
      </c>
    </row>
    <row r="95" spans="1:16" x14ac:dyDescent="0.2">
      <c r="A95">
        <v>2</v>
      </c>
      <c r="B95">
        <v>9972058228</v>
      </c>
      <c r="C95" t="s">
        <v>294</v>
      </c>
      <c r="D95" t="s">
        <v>295</v>
      </c>
      <c r="E95" s="4">
        <v>20399.75</v>
      </c>
      <c r="F95" s="4">
        <v>960</v>
      </c>
      <c r="G95" s="1">
        <v>43944</v>
      </c>
      <c r="H95">
        <v>12</v>
      </c>
      <c r="I95" s="5"/>
      <c r="J95" t="str">
        <f t="shared" si="1"/>
        <v>12 شهر</v>
      </c>
      <c r="K95" t="s">
        <v>296</v>
      </c>
      <c r="L95" s="6" t="str" cm="1">
        <f t="array" ref="L95:O95">_xlfn.TEXTSPLIT(K95," ")</f>
        <v>دانا</v>
      </c>
      <c r="M95" t="str">
        <v>بييرو</v>
      </c>
      <c r="N95" t="str">
        <v>واهي</v>
      </c>
      <c r="O95" t="str">
        <v>زرنيكيان</v>
      </c>
    </row>
    <row r="96" spans="1:16" x14ac:dyDescent="0.2">
      <c r="A96">
        <v>2</v>
      </c>
      <c r="B96">
        <v>9972060187</v>
      </c>
      <c r="C96" t="s">
        <v>297</v>
      </c>
      <c r="D96" t="s">
        <v>298</v>
      </c>
      <c r="E96" s="7">
        <v>12800</v>
      </c>
      <c r="F96" s="7">
        <v>520</v>
      </c>
      <c r="G96" s="1">
        <v>44531</v>
      </c>
      <c r="H96">
        <v>8</v>
      </c>
      <c r="I96" s="1">
        <v>45911</v>
      </c>
      <c r="J96" t="str">
        <f t="shared" si="1"/>
        <v>8 شهر</v>
      </c>
      <c r="K96" t="s">
        <v>299</v>
      </c>
      <c r="L96" s="6" t="str" cm="1">
        <f t="array" ref="L96:O96">_xlfn.TEXTSPLIT(K96," ")</f>
        <v>يارا</v>
      </c>
      <c r="M96" t="str">
        <v>محمد</v>
      </c>
      <c r="N96" t="str">
        <v>راكان</v>
      </c>
      <c r="O96" t="str">
        <v>الجازي</v>
      </c>
    </row>
    <row r="97" spans="1:15" x14ac:dyDescent="0.2">
      <c r="A97">
        <v>2</v>
      </c>
      <c r="B97">
        <v>9972060483</v>
      </c>
      <c r="C97" t="s">
        <v>300</v>
      </c>
      <c r="D97" t="s">
        <v>301</v>
      </c>
      <c r="E97" s="4">
        <v>16200.42</v>
      </c>
      <c r="F97" s="4">
        <v>470.04000000000013</v>
      </c>
      <c r="G97" s="1">
        <v>45522</v>
      </c>
      <c r="H97">
        <v>12</v>
      </c>
      <c r="I97" s="5"/>
      <c r="J97" t="str">
        <f t="shared" si="1"/>
        <v>12 شهر</v>
      </c>
      <c r="K97" t="s">
        <v>302</v>
      </c>
      <c r="L97" s="6" t="str" cm="1">
        <f t="array" ref="L97:O97">_xlfn.TEXTSPLIT(K97," ")</f>
        <v>دانيا</v>
      </c>
      <c r="M97" t="str">
        <v>أحمد</v>
      </c>
      <c r="N97" t="str">
        <v>قاسم</v>
      </c>
      <c r="O97" t="str">
        <v>مرزوقة</v>
      </c>
    </row>
    <row r="98" spans="1:15" x14ac:dyDescent="0.2">
      <c r="A98">
        <v>2</v>
      </c>
      <c r="B98">
        <v>9981015104</v>
      </c>
      <c r="C98" t="s">
        <v>303</v>
      </c>
      <c r="D98" t="s">
        <v>304</v>
      </c>
      <c r="E98" s="4">
        <v>900</v>
      </c>
      <c r="F98" s="4">
        <v>8</v>
      </c>
      <c r="G98" s="1">
        <v>44781</v>
      </c>
      <c r="H98">
        <v>1</v>
      </c>
      <c r="I98" s="1">
        <v>45688</v>
      </c>
      <c r="J98" t="str">
        <f t="shared" si="1"/>
        <v>1 شهر</v>
      </c>
      <c r="K98" t="s">
        <v>305</v>
      </c>
      <c r="L98" s="6" t="str" cm="1">
        <f t="array" ref="L98:O98">_xlfn.TEXTSPLIT(K98," ")</f>
        <v>محمد</v>
      </c>
      <c r="M98" t="str">
        <v>سعيد</v>
      </c>
      <c r="N98" t="str">
        <v>كمال</v>
      </c>
      <c r="O98" t="str">
        <v>بقيلة</v>
      </c>
    </row>
    <row r="99" spans="1:15" x14ac:dyDescent="0.2">
      <c r="A99">
        <v>2</v>
      </c>
      <c r="B99">
        <v>9981033850</v>
      </c>
      <c r="C99" t="s">
        <v>306</v>
      </c>
      <c r="D99" t="s">
        <v>307</v>
      </c>
      <c r="E99" s="4">
        <v>14114.79</v>
      </c>
      <c r="F99" s="4">
        <v>880</v>
      </c>
      <c r="G99" s="1">
        <v>45796</v>
      </c>
      <c r="H99">
        <v>8</v>
      </c>
      <c r="I99" s="5"/>
      <c r="J99" t="str">
        <f t="shared" si="1"/>
        <v>8 شهر</v>
      </c>
      <c r="K99" t="s">
        <v>308</v>
      </c>
      <c r="L99" s="6" t="str" cm="1">
        <f t="array" ref="L99:O99">_xlfn.TEXTSPLIT(K99," ")</f>
        <v>طارق</v>
      </c>
      <c r="M99" t="str">
        <v>زياد</v>
      </c>
      <c r="N99" t="str">
        <v>صادق</v>
      </c>
      <c r="O99" t="str">
        <v>الشرع</v>
      </c>
    </row>
    <row r="100" spans="1:15" x14ac:dyDescent="0.2">
      <c r="A100">
        <v>2</v>
      </c>
      <c r="B100">
        <v>9981035181</v>
      </c>
      <c r="C100" t="s">
        <v>309</v>
      </c>
      <c r="D100" t="s">
        <v>310</v>
      </c>
      <c r="E100" s="4">
        <v>1100</v>
      </c>
      <c r="F100" s="4">
        <v>17.5</v>
      </c>
      <c r="G100" s="1">
        <v>45368</v>
      </c>
      <c r="H100">
        <v>1</v>
      </c>
      <c r="I100" s="1">
        <v>45710</v>
      </c>
      <c r="J100" t="str">
        <f t="shared" si="1"/>
        <v>1 شهر</v>
      </c>
      <c r="K100" t="s">
        <v>311</v>
      </c>
      <c r="L100" s="6" t="str" cm="1">
        <f t="array" ref="L100:O100">_xlfn.TEXTSPLIT(K100," ")</f>
        <v>حازم</v>
      </c>
      <c r="M100" t="str">
        <v>محمد</v>
      </c>
      <c r="N100" t="str">
        <v>أكرم</v>
      </c>
      <c r="O100" t="str">
        <v>خصاونه</v>
      </c>
    </row>
    <row r="101" spans="1:15" x14ac:dyDescent="0.2">
      <c r="A101">
        <v>2</v>
      </c>
      <c r="B101">
        <v>9981068558</v>
      </c>
      <c r="C101" t="s">
        <v>312</v>
      </c>
      <c r="D101" t="s">
        <v>313</v>
      </c>
      <c r="E101" s="4">
        <v>8549.75</v>
      </c>
      <c r="F101" s="4">
        <v>90</v>
      </c>
      <c r="G101" s="1">
        <v>44925</v>
      </c>
      <c r="H101">
        <v>9</v>
      </c>
      <c r="I101" s="1">
        <v>45960</v>
      </c>
      <c r="J101" t="str">
        <f t="shared" si="1"/>
        <v>9 شهر</v>
      </c>
      <c r="K101" t="s">
        <v>314</v>
      </c>
      <c r="L101" s="6" t="str" cm="1">
        <f t="array" ref="L101:O101">_xlfn.TEXTSPLIT(K101," ")</f>
        <v>علي</v>
      </c>
      <c r="M101" t="str">
        <v>محمود</v>
      </c>
      <c r="N101" t="str">
        <v>بهجت</v>
      </c>
      <c r="O101" t="str">
        <v>حمصي</v>
      </c>
    </row>
    <row r="102" spans="1:15" x14ac:dyDescent="0.2">
      <c r="A102">
        <v>2</v>
      </c>
      <c r="B102">
        <v>9982022199</v>
      </c>
      <c r="C102" t="s">
        <v>315</v>
      </c>
      <c r="D102" t="s">
        <v>316</v>
      </c>
      <c r="E102" s="4">
        <v>6600</v>
      </c>
      <c r="F102" s="4">
        <v>105</v>
      </c>
      <c r="G102" s="1">
        <v>44906</v>
      </c>
      <c r="H102">
        <v>6</v>
      </c>
      <c r="I102" s="1">
        <v>45861</v>
      </c>
      <c r="J102" t="str">
        <f t="shared" si="1"/>
        <v>6 شهر</v>
      </c>
      <c r="K102" t="s">
        <v>317</v>
      </c>
      <c r="L102" s="6" t="str" cm="1">
        <f t="array" ref="L102:O102">_xlfn.TEXTSPLIT(K102," ")</f>
        <v>دينا</v>
      </c>
      <c r="M102" t="str">
        <v>فيصل</v>
      </c>
      <c r="N102" t="str">
        <v>عوض</v>
      </c>
      <c r="O102" t="str">
        <v>كريشان</v>
      </c>
    </row>
    <row r="103" spans="1:15" x14ac:dyDescent="0.2">
      <c r="A103">
        <v>2</v>
      </c>
      <c r="B103">
        <v>9982033210</v>
      </c>
      <c r="C103" t="s">
        <v>318</v>
      </c>
      <c r="D103" t="s">
        <v>319</v>
      </c>
      <c r="E103" s="4">
        <v>12413</v>
      </c>
      <c r="F103" s="4">
        <v>1178.4169999999999</v>
      </c>
      <c r="G103" s="1">
        <v>45564</v>
      </c>
      <c r="H103">
        <v>6</v>
      </c>
      <c r="I103" s="1">
        <v>45827</v>
      </c>
      <c r="J103" t="str">
        <f t="shared" si="1"/>
        <v>6 شهر</v>
      </c>
      <c r="K103" t="s">
        <v>320</v>
      </c>
      <c r="L103" s="6" t="str" cm="1">
        <f t="array" ref="L103:O103">_xlfn.TEXTSPLIT(K103," ")</f>
        <v>لانا</v>
      </c>
      <c r="M103" t="str">
        <v>طلعت</v>
      </c>
      <c r="N103" t="str">
        <v>جمال</v>
      </c>
      <c r="O103" t="str">
        <v>البدور</v>
      </c>
    </row>
    <row r="104" spans="1:15" x14ac:dyDescent="0.2">
      <c r="A104">
        <v>2</v>
      </c>
      <c r="B104">
        <v>9982035866</v>
      </c>
      <c r="C104" t="s">
        <v>321</v>
      </c>
      <c r="D104" t="s">
        <v>322</v>
      </c>
      <c r="E104" s="4">
        <v>14399.7</v>
      </c>
      <c r="F104" s="4">
        <v>290.29999999999995</v>
      </c>
      <c r="G104" s="1">
        <v>44990</v>
      </c>
      <c r="H104">
        <v>12</v>
      </c>
      <c r="I104" s="5"/>
      <c r="J104" t="str">
        <f t="shared" si="1"/>
        <v>12 شهر</v>
      </c>
      <c r="K104" t="s">
        <v>323</v>
      </c>
      <c r="L104" s="6" t="str" cm="1">
        <f t="array" ref="L104:O104">_xlfn.TEXTSPLIT(K104," ")</f>
        <v>ليلى</v>
      </c>
      <c r="M104" t="str">
        <v>فوزان</v>
      </c>
      <c r="N104" t="str">
        <v>جمال</v>
      </c>
      <c r="O104" t="str">
        <v>الحوراني</v>
      </c>
    </row>
    <row r="105" spans="1:15" x14ac:dyDescent="0.2">
      <c r="A105">
        <v>2</v>
      </c>
      <c r="B105">
        <v>9982046722</v>
      </c>
      <c r="C105" t="s">
        <v>324</v>
      </c>
      <c r="D105" t="s">
        <v>325</v>
      </c>
      <c r="E105" s="4">
        <v>14550.5</v>
      </c>
      <c r="F105" s="4">
        <v>313.5</v>
      </c>
      <c r="G105" s="1">
        <v>45481</v>
      </c>
      <c r="H105">
        <v>12</v>
      </c>
      <c r="I105" s="5"/>
      <c r="J105" t="str">
        <f t="shared" si="1"/>
        <v>12 شهر</v>
      </c>
      <c r="K105" t="s">
        <v>326</v>
      </c>
      <c r="L105" s="6" t="str" cm="1">
        <f t="array" ref="L105:O105">_xlfn.TEXTSPLIT(K105," ")</f>
        <v>سيرلي</v>
      </c>
      <c r="M105" t="str">
        <v>ساركيس</v>
      </c>
      <c r="N105" t="str">
        <v>يعقوب</v>
      </c>
      <c r="O105" t="str">
        <v>سانجيان</v>
      </c>
    </row>
    <row r="106" spans="1:15" x14ac:dyDescent="0.2">
      <c r="A106">
        <v>2</v>
      </c>
      <c r="B106">
        <v>9991023985</v>
      </c>
      <c r="C106" t="s">
        <v>327</v>
      </c>
      <c r="D106" t="s">
        <v>328</v>
      </c>
      <c r="E106" s="4">
        <v>9120.5</v>
      </c>
      <c r="F106" s="4">
        <v>6</v>
      </c>
      <c r="G106" s="1">
        <v>45578</v>
      </c>
      <c r="H106">
        <v>12</v>
      </c>
      <c r="I106" s="5"/>
      <c r="J106" t="str">
        <f t="shared" si="1"/>
        <v>12 شهر</v>
      </c>
      <c r="K106" t="s">
        <v>329</v>
      </c>
      <c r="L106" s="6" t="str" cm="1">
        <f t="array" ref="L106:O106">_xlfn.TEXTSPLIT(K106," ")</f>
        <v>باسل</v>
      </c>
      <c r="M106" t="str">
        <v>عصام</v>
      </c>
      <c r="N106" t="str">
        <v>محمود</v>
      </c>
      <c r="O106" t="str">
        <v>المومني</v>
      </c>
    </row>
    <row r="107" spans="1:15" x14ac:dyDescent="0.2">
      <c r="A107">
        <v>2</v>
      </c>
      <c r="B107">
        <v>9991048132</v>
      </c>
      <c r="C107" t="s">
        <v>330</v>
      </c>
      <c r="D107" t="s">
        <v>331</v>
      </c>
      <c r="E107" s="4">
        <v>12600.2</v>
      </c>
      <c r="F107" s="4">
        <v>266.19999999999993</v>
      </c>
      <c r="G107" s="1">
        <v>45704</v>
      </c>
      <c r="H107">
        <v>11</v>
      </c>
      <c r="I107" s="5"/>
      <c r="J107" t="str">
        <f t="shared" si="1"/>
        <v>11 شهر</v>
      </c>
      <c r="K107" t="s">
        <v>332</v>
      </c>
      <c r="L107" s="6" t="str" cm="1">
        <f t="array" ref="L107:O107">_xlfn.TEXTSPLIT(K107," ")</f>
        <v>سيف</v>
      </c>
      <c r="M107" t="str">
        <v>نظام</v>
      </c>
      <c r="N107" t="str">
        <v>جبريل</v>
      </c>
      <c r="O107" t="str">
        <v>الجلاني</v>
      </c>
    </row>
    <row r="108" spans="1:15" x14ac:dyDescent="0.2">
      <c r="A108">
        <v>2</v>
      </c>
      <c r="B108">
        <v>9991061394</v>
      </c>
      <c r="C108" t="s">
        <v>333</v>
      </c>
      <c r="D108" t="s">
        <v>334</v>
      </c>
      <c r="E108" s="4">
        <v>13200</v>
      </c>
      <c r="F108" s="4">
        <v>210</v>
      </c>
      <c r="G108" s="1">
        <v>45578</v>
      </c>
      <c r="H108">
        <v>12</v>
      </c>
      <c r="I108" s="5"/>
      <c r="J108" t="str">
        <f t="shared" si="1"/>
        <v>12 شهر</v>
      </c>
      <c r="K108" t="s">
        <v>335</v>
      </c>
      <c r="L108" s="6" t="str" cm="1">
        <f t="array" ref="L108:O108">_xlfn.TEXTSPLIT(K108," ")</f>
        <v>خليل</v>
      </c>
      <c r="M108" t="str">
        <v>لؤي</v>
      </c>
      <c r="N108" t="str">
        <v>خليل</v>
      </c>
      <c r="O108" t="str">
        <v>المصري</v>
      </c>
    </row>
    <row r="109" spans="1:15" x14ac:dyDescent="0.2">
      <c r="A109">
        <v>2</v>
      </c>
      <c r="B109">
        <v>9992020704</v>
      </c>
      <c r="C109" t="s">
        <v>336</v>
      </c>
      <c r="D109" t="s">
        <v>337</v>
      </c>
      <c r="E109" s="4">
        <v>1600</v>
      </c>
      <c r="F109" s="4">
        <v>6</v>
      </c>
      <c r="G109" s="1">
        <v>45221</v>
      </c>
      <c r="H109">
        <v>2</v>
      </c>
      <c r="I109" s="1">
        <v>45736</v>
      </c>
      <c r="J109" t="str">
        <f t="shared" si="1"/>
        <v>2 شهر</v>
      </c>
      <c r="K109" t="s">
        <v>338</v>
      </c>
      <c r="L109" s="6" t="str" cm="1">
        <f t="array" ref="L109:O109">_xlfn.TEXTSPLIT(K109," ")</f>
        <v>تالا</v>
      </c>
      <c r="M109" t="str">
        <v>جهاد</v>
      </c>
      <c r="N109" t="str">
        <v>رمضان</v>
      </c>
      <c r="O109" t="str">
        <v>أبوشريحة</v>
      </c>
    </row>
    <row r="110" spans="1:15" x14ac:dyDescent="0.2">
      <c r="A110">
        <v>2</v>
      </c>
      <c r="B110">
        <v>9992026118</v>
      </c>
      <c r="C110" t="s">
        <v>339</v>
      </c>
      <c r="D110" t="s">
        <v>340</v>
      </c>
      <c r="E110" s="4">
        <v>1100</v>
      </c>
      <c r="F110" s="4">
        <v>17.5</v>
      </c>
      <c r="G110" s="1">
        <v>45991</v>
      </c>
      <c r="H110">
        <v>1</v>
      </c>
      <c r="I110" s="5"/>
      <c r="J110" t="str">
        <f t="shared" si="1"/>
        <v>1 شهر</v>
      </c>
      <c r="K110" t="s">
        <v>341</v>
      </c>
      <c r="L110" s="6" t="str" cm="1">
        <f t="array" ref="L110:O110">_xlfn.TEXTSPLIT(K110," ")</f>
        <v>شهد</v>
      </c>
      <c r="M110" t="str">
        <v>أحمد</v>
      </c>
      <c r="N110" t="str">
        <v>علي</v>
      </c>
      <c r="O110" t="str">
        <v>عبيدات</v>
      </c>
    </row>
    <row r="111" spans="1:15" x14ac:dyDescent="0.2">
      <c r="A111">
        <v>2</v>
      </c>
      <c r="B111">
        <v>9992033530</v>
      </c>
      <c r="C111" t="s">
        <v>342</v>
      </c>
      <c r="D111" t="s">
        <v>343</v>
      </c>
      <c r="E111" s="4">
        <v>7600</v>
      </c>
      <c r="F111" s="4">
        <v>440</v>
      </c>
      <c r="G111" s="1">
        <v>44339</v>
      </c>
      <c r="H111">
        <v>4</v>
      </c>
      <c r="I111" s="1">
        <v>45766</v>
      </c>
      <c r="J111" t="str">
        <f t="shared" si="1"/>
        <v>4 شهر</v>
      </c>
      <c r="K111" t="s">
        <v>344</v>
      </c>
      <c r="L111" s="6" t="str" cm="1">
        <f t="array" ref="L111:O111">_xlfn.TEXTSPLIT(K111," ")</f>
        <v>رنيم</v>
      </c>
      <c r="M111" t="str">
        <v>خالد</v>
      </c>
      <c r="N111" t="str">
        <v>شريف</v>
      </c>
      <c r="O111" t="str">
        <v>عودة</v>
      </c>
    </row>
    <row r="112" spans="1:15" ht="17" thickBot="1" x14ac:dyDescent="0.25">
      <c r="A112" s="9" t="s">
        <v>345</v>
      </c>
      <c r="B112" s="9" t="s">
        <v>346</v>
      </c>
      <c r="C112" s="9"/>
      <c r="D112" s="9" t="s">
        <v>345</v>
      </c>
      <c r="E112" s="9">
        <v>942742.51999999955</v>
      </c>
      <c r="F112" s="9">
        <v>27806.706999999999</v>
      </c>
      <c r="G112" s="9"/>
      <c r="H112" s="9"/>
      <c r="I112" s="9"/>
      <c r="J112" s="9"/>
      <c r="K112" s="9"/>
    </row>
    <row r="113" ht="17" thickTop="1" x14ac:dyDescent="0.2"/>
  </sheetData>
  <conditionalFormatting sqref="B2:B111">
    <cfRule type="duplicateValues" dxfId="1" priority="2"/>
  </conditionalFormatting>
  <conditionalFormatting sqref="D2:D1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sami</dc:creator>
  <cp:lastModifiedBy>mohammed sami</cp:lastModifiedBy>
  <dcterms:created xsi:type="dcterms:W3CDTF">2026-01-27T10:23:47Z</dcterms:created>
  <dcterms:modified xsi:type="dcterms:W3CDTF">2026-01-27T10:26:05Z</dcterms:modified>
</cp:coreProperties>
</file>